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eklist" sheetId="2" state="visible" r:id="rId2"/>
    <sheet xmlns:r="http://schemas.openxmlformats.org/officeDocument/2006/relationships" name="form1" sheetId="3" state="visible" r:id="rId3"/>
    <sheet xmlns:r="http://schemas.openxmlformats.org/officeDocument/2006/relationships" name="form2" sheetId="4" state="visible" r:id="rId4"/>
    <sheet xmlns:r="http://schemas.openxmlformats.org/officeDocument/2006/relationships" name="form3" sheetId="5" state="visible" r:id="rId5"/>
    <sheet xmlns:r="http://schemas.openxmlformats.org/officeDocument/2006/relationships" name="form4" sheetId="6" state="visible" r:id="rId6"/>
    <sheet xmlns:r="http://schemas.openxmlformats.org/officeDocument/2006/relationships" name="form5" sheetId="7" state="visible" r:id="rId7"/>
    <sheet xmlns:r="http://schemas.openxmlformats.org/officeDocument/2006/relationships" name="form6" sheetId="8" state="visible" r:id="rId8"/>
    <sheet xmlns:r="http://schemas.openxmlformats.org/officeDocument/2006/relationships" name="form7" sheetId="9" state="visible" r:id="rId9"/>
  </sheets>
  <definedNames>
    <definedName name="_xlnm.Print_Area" localSheetId="1">'cheklist'!$B$2:$S$35</definedName>
    <definedName name="_xlnm.Print_Area" localSheetId="2">'form1'!$C$1:$N$37</definedName>
    <definedName name="_xlnm.Print_Area" localSheetId="3">'form2'!$D$3:$M$45</definedName>
    <definedName name="_xlnm.Print_Area" localSheetId="4">'form3'!$D$2:$O$53</definedName>
    <definedName name="_xlnm.Print_Area" localSheetId="5">'form4'!$E$2:$O$60</definedName>
    <definedName name="_xlnm.Print_Area" localSheetId="6">'form5'!$D$6:$M$49</definedName>
    <definedName name="_xlnm.Print_Area" localSheetId="7">'form6'!$D$3:$M$37</definedName>
    <definedName name="_xlnm.Print_Area" localSheetId="8">'form7'!$B$2:$L$24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_-_ ;_ * #,##0\-_ ;_ * &quot;-&quot;??_-_ ;_ @_ "/>
    <numFmt numFmtId="165" formatCode="[$-160429]dd/mm/yy;@"/>
  </numFmts>
  <fonts count="23">
    <font>
      <name val="Calibri"/>
      <charset val="178"/>
      <family val="2"/>
      <color theme="1"/>
      <sz val="11"/>
      <scheme val="minor"/>
    </font>
    <font>
      <name val="B Nazanin"/>
      <charset val="178"/>
      <color theme="1"/>
      <sz val="11"/>
    </font>
    <font>
      <name val="B Nazanin"/>
      <charset val="178"/>
      <color theme="1"/>
      <sz val="14"/>
    </font>
    <font>
      <name val="Calibri"/>
      <charset val="178"/>
      <family val="2"/>
      <color theme="1"/>
      <sz val="14"/>
      <scheme val="minor"/>
    </font>
    <font>
      <name val="B Nazanin"/>
      <charset val="178"/>
      <color theme="1"/>
      <sz val="18"/>
    </font>
    <font>
      <name val="Calibri"/>
      <charset val="178"/>
      <family val="2"/>
      <color theme="1"/>
      <sz val="11"/>
      <scheme val="minor"/>
    </font>
    <font>
      <name val="B Nazanin"/>
      <charset val="178"/>
      <b val="1"/>
      <color theme="1"/>
      <sz val="14"/>
    </font>
    <font>
      <name val="Calibri"/>
      <charset val="178"/>
      <family val="2"/>
      <sz val="8"/>
      <scheme val="minor"/>
    </font>
    <font>
      <name val="B Nazanin"/>
      <charset val="178"/>
      <b val="1"/>
      <color theme="1"/>
      <sz val="16"/>
    </font>
    <font>
      <name val="B Nazanin"/>
      <charset val="178"/>
      <b val="1"/>
      <color theme="1"/>
      <sz val="12"/>
    </font>
    <font>
      <name val="B Nazanin"/>
      <charset val="178"/>
      <b val="1"/>
      <color theme="1"/>
      <sz val="18"/>
    </font>
    <font>
      <name val="Calibri"/>
      <charset val="178"/>
      <family val="2"/>
      <b val="1"/>
      <color theme="1"/>
      <sz val="11"/>
      <scheme val="minor"/>
    </font>
    <font>
      <name val="Calibri"/>
      <charset val="178"/>
      <family val="2"/>
      <b val="1"/>
      <color theme="1"/>
      <sz val="14"/>
      <scheme val="minor"/>
    </font>
    <font>
      <name val="Calibri"/>
      <charset val="178"/>
      <family val="2"/>
      <color rgb="FFFF0000"/>
      <sz val="11"/>
      <scheme val="minor"/>
    </font>
    <font>
      <name val="B Nazanin"/>
      <charset val="178"/>
      <color rgb="FFFF0000"/>
      <sz val="14"/>
    </font>
    <font>
      <name val="B Nazanin"/>
      <charset val="178"/>
      <b val="1"/>
      <color rgb="FFFF0000"/>
      <sz val="14"/>
    </font>
    <font>
      <name val="B Titr"/>
      <charset val="178"/>
      <b val="1"/>
      <color theme="1"/>
      <sz val="20"/>
    </font>
    <font>
      <name val="B Titr"/>
      <charset val="178"/>
      <b val="1"/>
      <color theme="1"/>
      <sz val="11"/>
    </font>
    <font>
      <name val="B Titr"/>
      <charset val="178"/>
      <color theme="1"/>
      <sz val="16"/>
    </font>
    <font>
      <name val="B Mitra"/>
      <charset val="178"/>
      <b val="1"/>
      <color theme="1"/>
      <sz val="12"/>
    </font>
    <font>
      <name val="B Mitra"/>
      <charset val="178"/>
      <b val="1"/>
      <color theme="1"/>
      <sz val="11"/>
    </font>
    <font>
      <name val="B Mitra"/>
      <charset val="178"/>
      <b val="1"/>
      <color theme="1"/>
      <sz val="11"/>
      <u val="single"/>
    </font>
    <font>
      <name val="B Tir"/>
      <charset val="178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1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5" fillId="0" borderId="0"/>
    <xf numFmtId="43" fontId="5" fillId="0" borderId="0"/>
  </cellStyleXfs>
  <cellXfs count="408">
    <xf numFmtId="0" fontId="0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0" fontId="0" fillId="0" borderId="0" pivotButton="0" quotePrefix="0" xfId="0"/>
    <xf numFmtId="0" fontId="8" fillId="0" borderId="6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8" fillId="0" borderId="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0" fillId="0" borderId="8" pivotButton="0" quotePrefix="0" xfId="0"/>
    <xf numFmtId="0" fontId="8" fillId="0" borderId="9" applyAlignment="1" pivotButton="0" quotePrefix="0" xfId="0">
      <alignment vertical="center"/>
    </xf>
    <xf numFmtId="0" fontId="2" fillId="0" borderId="8" applyAlignment="1" pivotButton="0" quotePrefix="0" xfId="0">
      <alignment vertical="top" wrapText="1"/>
    </xf>
    <xf numFmtId="0" fontId="2" fillId="0" borderId="9" applyAlignment="1" pivotButton="0" quotePrefix="0" xfId="0">
      <alignment vertical="top" wrapText="1"/>
    </xf>
    <xf numFmtId="0" fontId="2" fillId="0" borderId="10" applyAlignment="1" pivotButton="0" quotePrefix="0" xfId="0">
      <alignment vertical="top" wrapText="1"/>
    </xf>
    <xf numFmtId="0" fontId="2" fillId="0" borderId="11" applyAlignment="1" pivotButton="0" quotePrefix="0" xfId="0">
      <alignment vertical="top" wrapText="1"/>
    </xf>
    <xf numFmtId="0" fontId="2" fillId="0" borderId="12" applyAlignment="1" pivotButton="0" quotePrefix="0" xfId="0">
      <alignment vertical="top" wrapText="1"/>
    </xf>
    <xf numFmtId="0" fontId="8" fillId="0" borderId="9" applyAlignment="1" pivotButton="0" quotePrefix="0" xfId="0">
      <alignment horizontal="center" vertical="center"/>
    </xf>
    <xf numFmtId="0" fontId="0" fillId="0" borderId="8" applyAlignment="1" pivotButton="0" quotePrefix="0" xfId="0">
      <alignment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top" wrapText="1" readingOrder="2"/>
    </xf>
    <xf numFmtId="0" fontId="2" fillId="0" borderId="0" applyAlignment="1" pivotButton="0" quotePrefix="0" xfId="0">
      <alignment horizontal="right" vertical="top" wrapText="1"/>
    </xf>
    <xf numFmtId="0" fontId="2" fillId="0" borderId="8" applyAlignment="1" pivotButton="0" quotePrefix="0" xfId="0">
      <alignment horizontal="right" vertical="top" wrapText="1"/>
    </xf>
    <xf numFmtId="0" fontId="2" fillId="0" borderId="2" pivotButton="0" quotePrefix="0" xfId="0"/>
    <xf numFmtId="0" fontId="0" fillId="0" borderId="2" pivotButton="0" quotePrefix="0" xfId="0"/>
    <xf numFmtId="0" fontId="0" fillId="0" borderId="7" pivotButton="0" quotePrefix="0" xfId="0"/>
    <xf numFmtId="0" fontId="2" fillId="0" borderId="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10" pivotButton="0" quotePrefix="0" xfId="0"/>
    <xf numFmtId="0" fontId="2" fillId="0" borderId="0" pivotButton="0" quotePrefix="0" xfId="0"/>
    <xf numFmtId="0" fontId="2" fillId="0" borderId="9" pivotButton="0" quotePrefix="0" xfId="0"/>
    <xf numFmtId="0" fontId="2" fillId="0" borderId="8" pivotButton="0" quotePrefix="0" xfId="0"/>
    <xf numFmtId="0" fontId="2" fillId="2" borderId="7" pivotButton="0" quotePrefix="0" xfId="0"/>
    <xf numFmtId="0" fontId="2" fillId="2" borderId="11" pivotButton="0" quotePrefix="0" xfId="0"/>
    <xf numFmtId="0" fontId="2" fillId="2" borderId="12" pivotButton="0" quotePrefix="0" xfId="0"/>
    <xf numFmtId="0" fontId="2" fillId="2" borderId="9" pivotButton="0" quotePrefix="0" xfId="0"/>
    <xf numFmtId="0" fontId="1" fillId="0" borderId="1" pivotButton="0" quotePrefix="0" xfId="0"/>
    <xf numFmtId="164" fontId="2" fillId="0" borderId="1" pivotButton="0" quotePrefix="0" xfId="1"/>
    <xf numFmtId="0" fontId="2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9" pivotButton="0" quotePrefix="0" xfId="0"/>
    <xf numFmtId="0" fontId="0" fillId="0" borderId="8" pivotButton="0" quotePrefix="0" xfId="0"/>
    <xf numFmtId="0" fontId="2" fillId="0" borderId="9" pivotButton="0" quotePrefix="0" xfId="0"/>
    <xf numFmtId="0" fontId="0" fillId="0" borderId="9" pivotButton="0" quotePrefix="0" xfId="0"/>
    <xf numFmtId="0" fontId="0" fillId="0" borderId="15" pivotButton="0" quotePrefix="0" xfId="0"/>
    <xf numFmtId="0" fontId="17" fillId="0" borderId="16" applyAlignment="1" pivotButton="0" quotePrefix="0" xfId="0">
      <alignment horizontal="center" vertical="center" textRotation="90" shrinkToFit="1"/>
    </xf>
    <xf numFmtId="0" fontId="17" fillId="0" borderId="16" applyAlignment="1" pivotButton="0" quotePrefix="0" xfId="0">
      <alignment horizontal="center" vertical="center" shrinkToFit="1"/>
    </xf>
    <xf numFmtId="0" fontId="17" fillId="0" borderId="18" applyAlignment="1" pivotButton="0" quotePrefix="0" xfId="0">
      <alignment horizontal="center" vertical="center" shrinkToFit="1"/>
    </xf>
    <xf numFmtId="0" fontId="17" fillId="0" borderId="1" applyAlignment="1" pivotButton="0" quotePrefix="0" xfId="0">
      <alignment horizontal="center" vertical="center" shrinkToFit="1"/>
    </xf>
    <xf numFmtId="0" fontId="0" fillId="0" borderId="21" applyAlignment="1" pivotButton="0" quotePrefix="0" xfId="0">
      <alignment horizontal="center" vertical="center" shrinkToFit="1"/>
    </xf>
    <xf numFmtId="0" fontId="0" fillId="0" borderId="22" applyAlignment="1" pivotButton="0" quotePrefix="0" xfId="0">
      <alignment horizontal="center" vertical="center" shrinkToFit="1"/>
    </xf>
    <xf numFmtId="49" fontId="17" fillId="0" borderId="1" applyAlignment="1" pivotButton="0" quotePrefix="0" xfId="0">
      <alignment horizontal="center" vertical="center" shrinkToFit="1"/>
    </xf>
    <xf numFmtId="0" fontId="17" fillId="0" borderId="1" applyAlignment="1" pivotButton="0" quotePrefix="0" xfId="0">
      <alignment horizontal="center" vertical="center" textRotation="90" shrinkToFit="1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justify" vertical="center" readingOrder="2"/>
    </xf>
    <xf numFmtId="0" fontId="2" fillId="0" borderId="1" pivotButton="0" quotePrefix="0" xfId="0"/>
    <xf numFmtId="164" fontId="2" fillId="0" borderId="1" pivotButton="0" quotePrefix="0" xfId="1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3" fillId="0" borderId="0" applyProtection="1" pivotButton="0" quotePrefix="0" xfId="0">
      <protection locked="0" hidden="0"/>
    </xf>
    <xf numFmtId="165" fontId="13" fillId="0" borderId="0" applyAlignment="1" applyProtection="1" pivotButton="0" quotePrefix="0" xfId="0">
      <alignment readingOrder="2"/>
      <protection locked="0" hidden="0"/>
    </xf>
    <xf numFmtId="0" fontId="3" fillId="0" borderId="0" applyProtection="1" pivotButton="0" quotePrefix="0" xfId="0">
      <protection locked="0" hidden="0"/>
    </xf>
    <xf numFmtId="0" fontId="6" fillId="7" borderId="32" applyAlignment="1" applyProtection="1" pivotButton="0" quotePrefix="0" xfId="0">
      <alignment horizontal="center" vertical="center"/>
      <protection locked="0" hidden="0"/>
    </xf>
    <xf numFmtId="0" fontId="6" fillId="0" borderId="33" applyAlignment="1" applyProtection="1" pivotButton="0" quotePrefix="0" xfId="0">
      <alignment horizontal="center" vertical="center"/>
      <protection locked="0" hidden="0"/>
    </xf>
    <xf numFmtId="0" fontId="6" fillId="6" borderId="32" applyAlignment="1" applyProtection="1" pivotButton="0" quotePrefix="0" xfId="0">
      <alignment horizontal="center" vertical="center"/>
      <protection locked="0" hidden="0"/>
    </xf>
    <xf numFmtId="0" fontId="6" fillId="6" borderId="1" applyAlignment="1" applyProtection="1" pivotButton="0" quotePrefix="0" xfId="0">
      <alignment horizontal="center" vertical="center"/>
      <protection locked="0" hidden="0"/>
    </xf>
    <xf numFmtId="0" fontId="6" fillId="6" borderId="33" applyAlignment="1" applyProtection="1" pivotButton="0" quotePrefix="0" xfId="0">
      <alignment horizontal="center" vertical="center"/>
      <protection locked="0" hidden="0"/>
    </xf>
    <xf numFmtId="0" fontId="6" fillId="5" borderId="32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vertical="center"/>
      <protection locked="0" hidden="0"/>
    </xf>
    <xf numFmtId="0" fontId="6" fillId="0" borderId="33" applyAlignment="1" applyProtection="1" pivotButton="0" quotePrefix="0" xfId="0">
      <alignment vertical="center"/>
      <protection locked="0" hidden="0"/>
    </xf>
    <xf numFmtId="1" fontId="6" fillId="0" borderId="33" applyAlignment="1" applyProtection="1" pivotButton="0" quotePrefix="0" xfId="0">
      <alignment horizontal="center" vertical="center"/>
      <protection locked="0" hidden="0"/>
    </xf>
    <xf numFmtId="0" fontId="6" fillId="0" borderId="32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33" applyAlignment="1" applyProtection="1" pivotButton="0" quotePrefix="0" xfId="1">
      <alignment horizontal="center" vertical="center"/>
      <protection locked="0" hidden="0"/>
    </xf>
    <xf numFmtId="164" fontId="6" fillId="0" borderId="1" applyProtection="1" pivotButton="0" quotePrefix="0" xfId="1">
      <protection locked="0" hidden="0"/>
    </xf>
    <xf numFmtId="0" fontId="6" fillId="0" borderId="33" applyProtection="1" pivotButton="0" quotePrefix="0" xfId="0">
      <protection locked="0" hidden="0"/>
    </xf>
    <xf numFmtId="0" fontId="6" fillId="0" borderId="1" applyProtection="1" pivotButton="0" quotePrefix="0" xfId="0">
      <protection locked="0" hidden="0"/>
    </xf>
    <xf numFmtId="0" fontId="12" fillId="0" borderId="1" applyProtection="1" pivotButton="0" quotePrefix="0" xfId="0">
      <protection locked="0" hidden="0"/>
    </xf>
    <xf numFmtId="164" fontId="6" fillId="0" borderId="1" applyProtection="1" pivotButton="0" quotePrefix="0" xfId="0">
      <protection locked="0" hidden="0"/>
    </xf>
    <xf numFmtId="0" fontId="14" fillId="0" borderId="1" applyProtection="1" pivotButton="0" quotePrefix="0" xfId="0">
      <protection locked="0" hidden="0"/>
    </xf>
    <xf numFmtId="0" fontId="15" fillId="0" borderId="0" applyProtection="1" pivotButton="0" quotePrefix="0" xfId="0">
      <protection locked="0" hidden="0"/>
    </xf>
    <xf numFmtId="0" fontId="6" fillId="0" borderId="33" applyAlignment="1" applyProtection="1" pivotButton="0" quotePrefix="0" xfId="0">
      <alignment horizontal="right" vertical="center" wrapText="1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6" fillId="7" borderId="34" applyAlignment="1" applyProtection="1" pivotButton="0" quotePrefix="0" xfId="0">
      <alignment horizontal="center" vertical="center"/>
      <protection locked="0" hidden="0"/>
    </xf>
    <xf numFmtId="0" fontId="6" fillId="0" borderId="38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vertical="center" wrapText="1"/>
      <protection locked="0" hidden="0"/>
    </xf>
    <xf numFmtId="165" fontId="0" fillId="0" borderId="0" applyAlignment="1" applyProtection="1" pivotButton="0" quotePrefix="0" xfId="0">
      <alignment readingOrder="2"/>
      <protection locked="0" hidden="0"/>
    </xf>
    <xf numFmtId="0" fontId="11" fillId="0" borderId="0" applyProtection="1" pivotButton="0" quotePrefix="0" xfId="0"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6" fillId="3" borderId="34" applyAlignment="1" pivotButton="0" quotePrefix="0" xfId="0">
      <alignment horizontal="center" vertical="center"/>
    </xf>
    <xf numFmtId="164" fontId="6" fillId="3" borderId="38" applyAlignment="1" pivotButton="0" quotePrefix="0" xfId="1">
      <alignment horizontal="center" vertical="center"/>
    </xf>
    <xf numFmtId="0" fontId="12" fillId="0" borderId="34" pivotButton="0" quotePrefix="0" xfId="0"/>
    <xf numFmtId="0" fontId="12" fillId="0" borderId="39" pivotButton="0" quotePrefix="0" xfId="0"/>
    <xf numFmtId="164" fontId="6" fillId="8" borderId="39" pivotButton="0" quotePrefix="0" xfId="0"/>
    <xf numFmtId="0" fontId="6" fillId="0" borderId="38" pivotButton="0" quotePrefix="0" xfId="0"/>
    <xf numFmtId="0" fontId="6" fillId="5" borderId="32" applyAlignment="1" pivotButton="0" quotePrefix="0" xfId="0">
      <alignment vertical="center"/>
    </xf>
    <xf numFmtId="0" fontId="6" fillId="5" borderId="32" pivotButton="0" quotePrefix="0" xfId="0"/>
    <xf numFmtId="0" fontId="6" fillId="4" borderId="32" applyAlignment="1" applyProtection="1" pivotButton="0" quotePrefix="0" xfId="0">
      <alignment horizontal="center"/>
      <protection locked="0" hidden="0"/>
    </xf>
    <xf numFmtId="0" fontId="6" fillId="4" borderId="1" applyAlignment="1" applyProtection="1" pivotButton="0" quotePrefix="0" xfId="0">
      <alignment horizontal="center"/>
      <protection locked="0" hidden="0"/>
    </xf>
    <xf numFmtId="0" fontId="6" fillId="4" borderId="34" applyAlignment="1" applyProtection="1" pivotButton="0" quotePrefix="0" xfId="0">
      <alignment horizontal="center"/>
      <protection locked="0" hidden="0"/>
    </xf>
    <xf numFmtId="0" fontId="6" fillId="4" borderId="39" applyAlignment="1" applyProtection="1" pivotButton="0" quotePrefix="0" xfId="0">
      <alignment horizontal="center"/>
      <protection locked="0" hidden="0"/>
    </xf>
    <xf numFmtId="164" fontId="6" fillId="8" borderId="1" applyAlignment="1" pivotButton="0" quotePrefix="0" xfId="1">
      <alignment horizontal="center"/>
    </xf>
    <xf numFmtId="164" fontId="6" fillId="8" borderId="33" applyAlignment="1" pivotButton="0" quotePrefix="0" xfId="1">
      <alignment horizontal="center"/>
    </xf>
    <xf numFmtId="164" fontId="6" fillId="8" borderId="39" applyAlignment="1" pivotButton="0" quotePrefix="0" xfId="1">
      <alignment horizontal="center"/>
    </xf>
    <xf numFmtId="164" fontId="6" fillId="8" borderId="38" applyAlignment="1" pivotButton="0" quotePrefix="0" xfId="1">
      <alignment horizontal="center"/>
    </xf>
    <xf numFmtId="164" fontId="6" fillId="0" borderId="1" applyAlignment="1" applyProtection="1" pivotButton="0" quotePrefix="0" xfId="1">
      <alignment horizontal="center"/>
      <protection locked="0" hidden="0"/>
    </xf>
    <xf numFmtId="164" fontId="6" fillId="0" borderId="33" applyAlignment="1" applyProtection="1" pivotButton="0" quotePrefix="0" xfId="1">
      <alignment horizontal="center"/>
      <protection locked="0" hidden="0"/>
    </xf>
    <xf numFmtId="0" fontId="6" fillId="0" borderId="1" applyAlignment="1" applyProtection="1" pivotButton="0" quotePrefix="0" xfId="0">
      <alignment horizontal="center"/>
      <protection locked="0" hidden="0"/>
    </xf>
    <xf numFmtId="0" fontId="6" fillId="0" borderId="33" applyAlignment="1" applyProtection="1" pivotButton="0" quotePrefix="0" xfId="0">
      <alignment horizont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0" fontId="6" fillId="0" borderId="33" applyAlignment="1" applyProtection="1" pivotButton="0" quotePrefix="0" xfId="0">
      <alignment horizontal="center" vertical="center"/>
      <protection locked="0" hidden="0"/>
    </xf>
    <xf numFmtId="0" fontId="6" fillId="5" borderId="49" applyAlignment="1" applyProtection="1" pivotButton="0" quotePrefix="0" xfId="0">
      <alignment horizontal="right"/>
      <protection locked="0" hidden="0"/>
    </xf>
    <xf numFmtId="0" fontId="6" fillId="5" borderId="36" applyAlignment="1" applyProtection="1" pivotButton="0" quotePrefix="0" xfId="0">
      <alignment horizontal="right"/>
      <protection locked="0" hidden="0"/>
    </xf>
    <xf numFmtId="0" fontId="6" fillId="5" borderId="37" applyAlignment="1" applyProtection="1" pivotButton="0" quotePrefix="0" xfId="0">
      <alignment horizontal="right"/>
      <protection locked="0" hidden="0"/>
    </xf>
    <xf numFmtId="164" fontId="6" fillId="8" borderId="35" applyAlignment="1" pivotButton="0" quotePrefix="0" xfId="0">
      <alignment horizontal="center" vertical="center"/>
    </xf>
    <xf numFmtId="0" fontId="6" fillId="8" borderId="36" applyAlignment="1" pivotButton="0" quotePrefix="0" xfId="0">
      <alignment horizontal="center" vertical="center"/>
    </xf>
    <xf numFmtId="0" fontId="6" fillId="8" borderId="50" applyAlignment="1" pivotButton="0" quotePrefix="0" xfId="0">
      <alignment horizontal="center" vertical="center"/>
    </xf>
    <xf numFmtId="0" fontId="6" fillId="4" borderId="40" applyAlignment="1" applyProtection="1" pivotButton="0" quotePrefix="0" xfId="0">
      <alignment horizontal="center" vertical="center"/>
      <protection locked="0" hidden="0"/>
    </xf>
    <xf numFmtId="0" fontId="6" fillId="4" borderId="51" applyAlignment="1" applyProtection="1" pivotButton="0" quotePrefix="0" xfId="0">
      <alignment horizontal="center" vertical="center"/>
      <protection locked="0" hidden="0"/>
    </xf>
    <xf numFmtId="0" fontId="6" fillId="4" borderId="34" applyAlignment="1" applyProtection="1" pivotButton="0" quotePrefix="0" xfId="0">
      <alignment horizontal="center" vertical="center"/>
      <protection locked="0" hidden="0"/>
    </xf>
    <xf numFmtId="0" fontId="6" fillId="4" borderId="39" applyAlignment="1" applyProtection="1" pivotButton="0" quotePrefix="0" xfId="0">
      <alignment horizontal="center" vertical="center"/>
      <protection locked="0" hidden="0"/>
    </xf>
    <xf numFmtId="0" fontId="6" fillId="0" borderId="52" applyAlignment="1" applyProtection="1" pivotButton="0" quotePrefix="0" xfId="0">
      <alignment horizontal="center" vertical="center"/>
      <protection locked="0" hidden="0"/>
    </xf>
    <xf numFmtId="0" fontId="6" fillId="0" borderId="53" applyAlignment="1" applyProtection="1" pivotButton="0" quotePrefix="0" xfId="0">
      <alignment horizontal="center" vertical="center"/>
      <protection locked="0" hidden="0"/>
    </xf>
    <xf numFmtId="0" fontId="6" fillId="4" borderId="32" applyAlignment="1" applyProtection="1" pivotButton="0" quotePrefix="0" xfId="0">
      <alignment horizontal="center" vertical="center"/>
      <protection locked="0" hidden="0"/>
    </xf>
    <xf numFmtId="0" fontId="6" fillId="4" borderId="1" applyAlignment="1" applyProtection="1" pivotButton="0" quotePrefix="0" xfId="0">
      <alignment horizontal="center" vertical="center"/>
      <protection locked="0" hidden="0"/>
    </xf>
    <xf numFmtId="0" fontId="6" fillId="0" borderId="51" applyAlignment="1" applyProtection="1" pivotButton="0" quotePrefix="0" xfId="0">
      <alignment horizontal="center" vertical="center"/>
      <protection locked="0" hidden="0"/>
    </xf>
    <xf numFmtId="0" fontId="6" fillId="0" borderId="4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0" fontId="6" fillId="0" borderId="33" applyAlignment="1" applyProtection="1" pivotButton="0" quotePrefix="0" xfId="0">
      <alignment horizontal="center" vertical="center"/>
      <protection locked="0" hidden="0"/>
    </xf>
    <xf numFmtId="164" fontId="6" fillId="0" borderId="3" applyAlignment="1" applyProtection="1" pivotButton="0" quotePrefix="0" xfId="1">
      <alignment horizontal="center" vertical="center"/>
      <protection locked="0" hidden="0"/>
    </xf>
    <xf numFmtId="164" fontId="6" fillId="0" borderId="4" applyAlignment="1" applyProtection="1" pivotButton="0" quotePrefix="0" xfId="1">
      <alignment horizontal="center" vertical="center"/>
      <protection locked="0" hidden="0"/>
    </xf>
    <xf numFmtId="164" fontId="6" fillId="0" borderId="48" applyAlignment="1" applyProtection="1" pivotButton="0" quotePrefix="0" xfId="1">
      <alignment horizontal="center" vertical="center"/>
      <protection locked="0" hidden="0"/>
    </xf>
    <xf numFmtId="0" fontId="6" fillId="5" borderId="47" applyAlignment="1" applyProtection="1" pivotButton="0" quotePrefix="0" xfId="0">
      <alignment horizontal="right"/>
      <protection locked="0" hidden="0"/>
    </xf>
    <xf numFmtId="0" fontId="6" fillId="5" borderId="4" applyAlignment="1" applyProtection="1" pivotButton="0" quotePrefix="0" xfId="0">
      <alignment horizontal="right"/>
      <protection locked="0" hidden="0"/>
    </xf>
    <xf numFmtId="0" fontId="6" fillId="5" borderId="5" applyAlignment="1" applyProtection="1" pivotButton="0" quotePrefix="0" xfId="0">
      <alignment horizontal="right"/>
      <protection locked="0" hidden="0"/>
    </xf>
    <xf numFmtId="164" fontId="6" fillId="8" borderId="3" applyAlignment="1" pivotButton="0" quotePrefix="0" xfId="1">
      <alignment horizontal="center" vertical="center"/>
    </xf>
    <xf numFmtId="164" fontId="6" fillId="8" borderId="4" applyAlignment="1" pivotButton="0" quotePrefix="0" xfId="1">
      <alignment horizontal="center" vertical="center"/>
    </xf>
    <xf numFmtId="164" fontId="6" fillId="8" borderId="48" applyAlignment="1" pivotButton="0" quotePrefix="0" xfId="1">
      <alignment horizontal="center" vertical="center"/>
    </xf>
    <xf numFmtId="0" fontId="6" fillId="7" borderId="40" applyAlignment="1" applyProtection="1" pivotButton="0" quotePrefix="0" xfId="0">
      <alignment horizontal="center" vertical="center"/>
      <protection locked="0" hidden="0"/>
    </xf>
    <xf numFmtId="0" fontId="6" fillId="7" borderId="41" applyAlignment="1" applyProtection="1" pivotButton="0" quotePrefix="0" xfId="0">
      <alignment horizontal="center" vertical="center"/>
      <protection locked="0" hidden="0"/>
    </xf>
    <xf numFmtId="0" fontId="6" fillId="7" borderId="32" applyAlignment="1" applyProtection="1" pivotButton="0" quotePrefix="0" xfId="0">
      <alignment horizontal="center" vertical="center"/>
      <protection locked="0" hidden="0"/>
    </xf>
    <xf numFmtId="0" fontId="6" fillId="7" borderId="33" applyAlignment="1" applyProtection="1" pivotButton="0" quotePrefix="0" xfId="0">
      <alignment horizontal="center" vertical="center"/>
      <protection locked="0" hidden="0"/>
    </xf>
    <xf numFmtId="0" fontId="6" fillId="3" borderId="35" applyAlignment="1" pivotButton="0" quotePrefix="0" xfId="0">
      <alignment horizontal="center" vertical="center"/>
    </xf>
    <xf numFmtId="0" fontId="6" fillId="3" borderId="36" applyAlignment="1" pivotButton="0" quotePrefix="0" xfId="0">
      <alignment horizontal="center" vertical="center"/>
    </xf>
    <xf numFmtId="0" fontId="6" fillId="3" borderId="37" applyAlignment="1" pivotButton="0" quotePrefix="0" xfId="0">
      <alignment horizontal="center" vertical="center"/>
    </xf>
    <xf numFmtId="0" fontId="6" fillId="6" borderId="27" applyAlignment="1" applyProtection="1" pivotButton="0" quotePrefix="0" xfId="0">
      <alignment horizontal="center" vertical="center"/>
      <protection locked="0" hidden="0"/>
    </xf>
    <xf numFmtId="0" fontId="6" fillId="6" borderId="28" applyAlignment="1" applyProtection="1" pivotButton="0" quotePrefix="0" xfId="0">
      <alignment horizontal="center" vertical="center"/>
      <protection locked="0" hidden="0"/>
    </xf>
    <xf numFmtId="0" fontId="6" fillId="6" borderId="29" applyAlignment="1" applyProtection="1" pivotButton="0" quotePrefix="0" xfId="0">
      <alignment horizontal="center" vertical="center"/>
      <protection locked="0" hidden="0"/>
    </xf>
    <xf numFmtId="0" fontId="6" fillId="6" borderId="30" applyAlignment="1" applyProtection="1" pivotButton="0" quotePrefix="0" xfId="0">
      <alignment horizontal="center" vertical="center"/>
      <protection locked="0" hidden="0"/>
    </xf>
    <xf numFmtId="0" fontId="6" fillId="6" borderId="11" applyAlignment="1" applyProtection="1" pivotButton="0" quotePrefix="0" xfId="0">
      <alignment horizontal="center" vertical="center"/>
      <protection locked="0" hidden="0"/>
    </xf>
    <xf numFmtId="0" fontId="6" fillId="6" borderId="31" applyAlignment="1" applyProtection="1" pivotButton="0" quotePrefix="0" xfId="0">
      <alignment horizontal="center" vertical="center"/>
      <protection locked="0" hidden="0"/>
    </xf>
    <xf numFmtId="0" fontId="2" fillId="5" borderId="27" applyAlignment="1" applyProtection="1" pivotButton="0" quotePrefix="0" xfId="0">
      <alignment horizontal="center" vertical="center"/>
      <protection locked="0" hidden="0"/>
    </xf>
    <xf numFmtId="0" fontId="2" fillId="5" borderId="28" applyAlignment="1" applyProtection="1" pivotButton="0" quotePrefix="0" xfId="0">
      <alignment horizontal="center" vertical="center"/>
      <protection locked="0" hidden="0"/>
    </xf>
    <xf numFmtId="0" fontId="2" fillId="5" borderId="29" applyAlignment="1" applyProtection="1" pivotButton="0" quotePrefix="0" xfId="0">
      <alignment horizontal="center" vertical="center"/>
      <protection locked="0" hidden="0"/>
    </xf>
    <xf numFmtId="0" fontId="2" fillId="5" borderId="30" applyAlignment="1" applyProtection="1" pivotButton="0" quotePrefix="0" xfId="0">
      <alignment horizontal="center" vertical="center"/>
      <protection locked="0" hidden="0"/>
    </xf>
    <xf numFmtId="0" fontId="2" fillId="5" borderId="11" applyAlignment="1" applyProtection="1" pivotButton="0" quotePrefix="0" xfId="0">
      <alignment horizontal="center" vertical="center"/>
      <protection locked="0" hidden="0"/>
    </xf>
    <xf numFmtId="0" fontId="2" fillId="5" borderId="31" applyAlignment="1" applyProtection="1" pivotButton="0" quotePrefix="0" xfId="0">
      <alignment horizontal="center" vertical="center"/>
      <protection locked="0" hidden="0"/>
    </xf>
    <xf numFmtId="0" fontId="6" fillId="5" borderId="42" applyAlignment="1" applyProtection="1" pivotButton="0" quotePrefix="0" xfId="0">
      <alignment horizontal="center"/>
      <protection locked="0" hidden="0"/>
    </xf>
    <xf numFmtId="0" fontId="6" fillId="5" borderId="43" applyAlignment="1" applyProtection="1" pivotButton="0" quotePrefix="0" xfId="0">
      <alignment horizontal="center"/>
      <protection locked="0" hidden="0"/>
    </xf>
    <xf numFmtId="0" fontId="6" fillId="5" borderId="44" applyAlignment="1" applyProtection="1" pivotButton="0" quotePrefix="0" xfId="0">
      <alignment horizontal="center"/>
      <protection locked="0" hidden="0"/>
    </xf>
    <xf numFmtId="0" fontId="6" fillId="5" borderId="45" applyAlignment="1" applyProtection="1" pivotButton="0" quotePrefix="0" xfId="0">
      <alignment horizontal="center"/>
      <protection locked="0" hidden="0"/>
    </xf>
    <xf numFmtId="0" fontId="6" fillId="5" borderId="46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 shrinkToFit="1"/>
    </xf>
    <xf numFmtId="0" fontId="18" fillId="0" borderId="16" applyAlignment="1" pivotButton="0" quotePrefix="0" xfId="0">
      <alignment horizontal="center" vertical="center" shrinkToFit="1"/>
    </xf>
    <xf numFmtId="0" fontId="18" fillId="0" borderId="17" applyAlignment="1" pivotButton="0" quotePrefix="0" xfId="0">
      <alignment horizontal="center" vertical="center" shrinkToFit="1"/>
    </xf>
    <xf numFmtId="0" fontId="0" fillId="9" borderId="19" pivotButton="0" quotePrefix="0" xfId="0"/>
    <xf numFmtId="0" fontId="0" fillId="9" borderId="4" pivotButton="0" quotePrefix="0" xfId="0"/>
    <xf numFmtId="0" fontId="0" fillId="9" borderId="20" pivotButton="0" quotePrefix="0" xfId="0"/>
    <xf numFmtId="0" fontId="17" fillId="0" borderId="21" applyAlignment="1" pivotButton="0" quotePrefix="0" xfId="0">
      <alignment horizontal="center" vertical="center" textRotation="90" shrinkToFit="1"/>
    </xf>
    <xf numFmtId="0" fontId="19" fillId="0" borderId="19" applyAlignment="1" pivotButton="0" quotePrefix="0" xfId="0">
      <alignment horizontal="right" vertical="center" shrinkToFit="1"/>
    </xf>
    <xf numFmtId="0" fontId="19" fillId="0" borderId="4" applyAlignment="1" pivotButton="0" quotePrefix="0" xfId="0">
      <alignment horizontal="right" vertical="center" shrinkToFit="1"/>
    </xf>
    <xf numFmtId="0" fontId="19" fillId="0" borderId="20" applyAlignment="1" pivotButton="0" quotePrefix="0" xfId="0">
      <alignment horizontal="right" vertical="center" shrinkToFit="1"/>
    </xf>
    <xf numFmtId="0" fontId="20" fillId="0" borderId="19" applyAlignment="1" pivotButton="0" quotePrefix="0" xfId="0">
      <alignment horizontal="center" vertical="center" wrapText="1" shrinkToFit="1"/>
    </xf>
    <xf numFmtId="0" fontId="20" fillId="0" borderId="4" applyAlignment="1" pivotButton="0" quotePrefix="0" xfId="0">
      <alignment horizontal="center" vertical="center" wrapText="1" shrinkToFit="1"/>
    </xf>
    <xf numFmtId="0" fontId="20" fillId="0" borderId="5" applyAlignment="1" pivotButton="0" quotePrefix="0" xfId="0">
      <alignment horizontal="center" vertical="center" wrapText="1" shrinkToFit="1"/>
    </xf>
    <xf numFmtId="0" fontId="0" fillId="9" borderId="19" applyAlignment="1" pivotButton="0" quotePrefix="0" xfId="0">
      <alignment horizontal="center" vertical="center" shrinkToFit="1"/>
    </xf>
    <xf numFmtId="0" fontId="0" fillId="9" borderId="4" applyAlignment="1" pivotButton="0" quotePrefix="0" xfId="0">
      <alignment horizontal="center" vertical="center" shrinkToFit="1"/>
    </xf>
    <xf numFmtId="0" fontId="0" fillId="9" borderId="20" applyAlignment="1" pivotButton="0" quotePrefix="0" xfId="0">
      <alignment horizontal="center" vertical="center" shrinkToFit="1"/>
    </xf>
    <xf numFmtId="0" fontId="20" fillId="0" borderId="3" applyAlignment="1" pivotButton="0" quotePrefix="0" xfId="0">
      <alignment horizontal="center" vertical="center" shrinkToFit="1"/>
    </xf>
    <xf numFmtId="0" fontId="20" fillId="0" borderId="4" applyAlignment="1" pivotButton="0" quotePrefix="0" xfId="0">
      <alignment horizontal="center" vertical="center" shrinkToFit="1"/>
    </xf>
    <xf numFmtId="0" fontId="17" fillId="0" borderId="3" applyAlignment="1" pivotButton="0" quotePrefix="0" xfId="0">
      <alignment horizontal="center" vertical="center" shrinkToFit="1"/>
    </xf>
    <xf numFmtId="0" fontId="17" fillId="0" borderId="4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wrapText="1" shrinkToFit="1"/>
    </xf>
    <xf numFmtId="0" fontId="20" fillId="0" borderId="3" applyAlignment="1" pivotButton="0" quotePrefix="0" xfId="0">
      <alignment horizontal="center" vertical="center" wrapText="1" shrinkToFit="1"/>
    </xf>
    <xf numFmtId="0" fontId="17" fillId="0" borderId="24" applyAlignment="1" pivotButton="0" quotePrefix="0" xfId="0">
      <alignment horizontal="center" vertical="center" textRotation="90" shrinkToFit="1"/>
    </xf>
    <xf numFmtId="0" fontId="17" fillId="0" borderId="25" applyAlignment="1" pivotButton="0" quotePrefix="0" xfId="0">
      <alignment horizontal="center" vertical="center" textRotation="90" shrinkToFit="1"/>
    </xf>
    <xf numFmtId="0" fontId="17" fillId="0" borderId="26" applyAlignment="1" pivotButton="0" quotePrefix="0" xfId="0">
      <alignment horizontal="center" vertical="center" textRotation="90" shrinkToFit="1"/>
    </xf>
    <xf numFmtId="0" fontId="20" fillId="0" borderId="20" applyAlignment="1" pivotButton="0" quotePrefix="0" xfId="0">
      <alignment horizontal="center" vertical="center" wrapText="1" shrinkToFit="1"/>
    </xf>
    <xf numFmtId="0" fontId="2" fillId="0" borderId="6" applyAlignment="1" pivotButton="0" quotePrefix="0" xfId="0">
      <alignment horizontal="right" vertical="top" wrapText="1" indent="1" readingOrder="2"/>
    </xf>
    <xf numFmtId="0" fontId="2" fillId="0" borderId="2" applyAlignment="1" pivotButton="0" quotePrefix="0" xfId="0">
      <alignment horizontal="right" vertical="top" wrapText="1" indent="1" readingOrder="2"/>
    </xf>
    <xf numFmtId="0" fontId="2" fillId="0" borderId="7" applyAlignment="1" pivotButton="0" quotePrefix="0" xfId="0">
      <alignment horizontal="right" vertical="top" wrapText="1" indent="1" readingOrder="2"/>
    </xf>
    <xf numFmtId="0" fontId="2" fillId="0" borderId="8" applyAlignment="1" pivotButton="0" quotePrefix="0" xfId="0">
      <alignment horizontal="right" vertical="top" wrapText="1" indent="1" readingOrder="2"/>
    </xf>
    <xf numFmtId="0" fontId="2" fillId="0" borderId="0" applyAlignment="1" pivotButton="0" quotePrefix="0" xfId="0">
      <alignment horizontal="right" vertical="top" wrapText="1" indent="1" readingOrder="2"/>
    </xf>
    <xf numFmtId="0" fontId="2" fillId="0" borderId="9" applyAlignment="1" pivotButton="0" quotePrefix="0" xfId="0">
      <alignment horizontal="right" vertical="top" wrapText="1" indent="1" readingOrder="2"/>
    </xf>
    <xf numFmtId="0" fontId="2" fillId="0" borderId="10" applyAlignment="1" pivotButton="0" quotePrefix="0" xfId="0">
      <alignment horizontal="right" vertical="top" wrapText="1" indent="1" readingOrder="2"/>
    </xf>
    <xf numFmtId="0" fontId="2" fillId="0" borderId="11" applyAlignment="1" pivotButton="0" quotePrefix="0" xfId="0">
      <alignment horizontal="right" vertical="top" wrapText="1" indent="1" readingOrder="2"/>
    </xf>
    <xf numFmtId="0" fontId="2" fillId="0" borderId="12" applyAlignment="1" pivotButton="0" quotePrefix="0" xfId="0">
      <alignment horizontal="right" vertical="top" wrapText="1" indent="1" readingOrder="2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10" fillId="2" borderId="6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0" fontId="10" fillId="2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2" borderId="6" applyAlignment="1" pivotButton="0" quotePrefix="0" xfId="0">
      <alignment horizontal="right" vertical="center" wrapText="1" readingOrder="2"/>
    </xf>
    <xf numFmtId="0" fontId="2" fillId="2" borderId="2" applyAlignment="1" pivotButton="0" quotePrefix="0" xfId="0">
      <alignment horizontal="right" vertical="center" wrapText="1" readingOrder="2"/>
    </xf>
    <xf numFmtId="0" fontId="2" fillId="2" borderId="7" applyAlignment="1" pivotButton="0" quotePrefix="0" xfId="0">
      <alignment horizontal="right" vertical="center" wrapText="1" readingOrder="2"/>
    </xf>
    <xf numFmtId="0" fontId="2" fillId="2" borderId="8" applyAlignment="1" pivotButton="0" quotePrefix="0" xfId="0">
      <alignment horizontal="right" vertical="center" wrapText="1" readingOrder="2"/>
    </xf>
    <xf numFmtId="0" fontId="2" fillId="2" borderId="0" applyAlignment="1" pivotButton="0" quotePrefix="0" xfId="0">
      <alignment horizontal="right" vertical="center" wrapText="1" readingOrder="2"/>
    </xf>
    <xf numFmtId="0" fontId="2" fillId="2" borderId="9" applyAlignment="1" pivotButton="0" quotePrefix="0" xfId="0">
      <alignment horizontal="right" vertical="center" wrapText="1" readingOrder="2"/>
    </xf>
    <xf numFmtId="0" fontId="2" fillId="2" borderId="10" applyAlignment="1" pivotButton="0" quotePrefix="0" xfId="0">
      <alignment horizontal="right" vertical="center" wrapText="1" readingOrder="2"/>
    </xf>
    <xf numFmtId="0" fontId="2" fillId="2" borderId="11" applyAlignment="1" pivotButton="0" quotePrefix="0" xfId="0">
      <alignment horizontal="right" vertical="center" wrapText="1" readingOrder="2"/>
    </xf>
    <xf numFmtId="0" fontId="2" fillId="2" borderId="12" applyAlignment="1" pivotButton="0" quotePrefix="0" xfId="0">
      <alignment horizontal="right" vertical="center" wrapText="1" readingOrder="2"/>
    </xf>
    <xf numFmtId="0" fontId="2" fillId="2" borderId="6" applyAlignment="1" pivotButton="0" quotePrefix="0" xfId="0">
      <alignment horizontal="right" vertical="top" wrapText="1" readingOrder="2"/>
    </xf>
    <xf numFmtId="0" fontId="2" fillId="2" borderId="2" applyAlignment="1" pivotButton="0" quotePrefix="0" xfId="0">
      <alignment horizontal="right" vertical="top" wrapText="1" readingOrder="2"/>
    </xf>
    <xf numFmtId="0" fontId="2" fillId="2" borderId="7" applyAlignment="1" pivotButton="0" quotePrefix="0" xfId="0">
      <alignment horizontal="right" vertical="top" wrapText="1" readingOrder="2"/>
    </xf>
    <xf numFmtId="0" fontId="2" fillId="2" borderId="8" applyAlignment="1" pivotButton="0" quotePrefix="0" xfId="0">
      <alignment horizontal="right" vertical="top" wrapText="1" readingOrder="2"/>
    </xf>
    <xf numFmtId="0" fontId="2" fillId="2" borderId="0" applyAlignment="1" pivotButton="0" quotePrefix="0" xfId="0">
      <alignment horizontal="right" vertical="top" wrapText="1" readingOrder="2"/>
    </xf>
    <xf numFmtId="0" fontId="2" fillId="2" borderId="9" applyAlignment="1" pivotButton="0" quotePrefix="0" xfId="0">
      <alignment horizontal="right" vertical="top" wrapText="1" readingOrder="2"/>
    </xf>
    <xf numFmtId="0" fontId="2" fillId="2" borderId="10" applyAlignment="1" pivotButton="0" quotePrefix="0" xfId="0">
      <alignment horizontal="right" vertical="top" wrapText="1" readingOrder="2"/>
    </xf>
    <xf numFmtId="0" fontId="2" fillId="2" borderId="11" applyAlignment="1" pivotButton="0" quotePrefix="0" xfId="0">
      <alignment horizontal="right" vertical="top" wrapText="1" readingOrder="2"/>
    </xf>
    <xf numFmtId="0" fontId="2" fillId="2" borderId="12" applyAlignment="1" pivotButton="0" quotePrefix="0" xfId="0">
      <alignment horizontal="right" vertical="top" wrapText="1" readingOrder="2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 readingOrder="2"/>
    </xf>
    <xf numFmtId="0" fontId="2" fillId="0" borderId="4" applyAlignment="1" pivotButton="0" quotePrefix="0" xfId="0">
      <alignment horizontal="center" vertical="center" wrapText="1" readingOrder="2"/>
    </xf>
    <xf numFmtId="0" fontId="2" fillId="0" borderId="5" applyAlignment="1" pivotButton="0" quotePrefix="0" xfId="0">
      <alignment horizontal="center" vertical="center" wrapText="1" readingOrder="2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0" fontId="9" fillId="0" borderId="0" applyAlignment="1" pivotButton="0" quotePrefix="0" xfId="0">
      <alignment horizontal="center" vertical="top" wrapText="1"/>
    </xf>
    <xf numFmtId="0" fontId="9" fillId="0" borderId="9" applyAlignment="1" pivotButton="0" quotePrefix="0" xfId="0">
      <alignment horizontal="center" vertical="top" wrapText="1"/>
    </xf>
    <xf numFmtId="0" fontId="2" fillId="0" borderId="6" applyAlignment="1" pivotButton="0" quotePrefix="0" xfId="0">
      <alignment horizontal="right" vertical="top" wrapText="1"/>
    </xf>
    <xf numFmtId="0" fontId="2" fillId="0" borderId="2" applyAlignment="1" pivotButton="0" quotePrefix="0" xfId="0">
      <alignment horizontal="right" vertical="top" wrapText="1"/>
    </xf>
    <xf numFmtId="0" fontId="2" fillId="0" borderId="7" applyAlignment="1" pivotButton="0" quotePrefix="0" xfId="0">
      <alignment horizontal="right" vertical="top" wrapText="1"/>
    </xf>
    <xf numFmtId="0" fontId="2" fillId="0" borderId="8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  <xf numFmtId="0" fontId="2" fillId="0" borderId="9" applyAlignment="1" pivotButton="0" quotePrefix="0" xfId="0">
      <alignment horizontal="right" vertical="top" wrapText="1"/>
    </xf>
    <xf numFmtId="0" fontId="2" fillId="0" borderId="10" applyAlignment="1" pivotButton="0" quotePrefix="0" xfId="0">
      <alignment horizontal="right" vertical="top" wrapText="1"/>
    </xf>
    <xf numFmtId="0" fontId="2" fillId="0" borderId="11" applyAlignment="1" pivotButton="0" quotePrefix="0" xfId="0">
      <alignment horizontal="right" vertical="top" wrapText="1"/>
    </xf>
    <xf numFmtId="0" fontId="2" fillId="0" borderId="12" applyAlignment="1" pivotButton="0" quotePrefix="0" xfId="0">
      <alignment horizontal="right" vertical="top" wrapText="1"/>
    </xf>
    <xf numFmtId="0" fontId="6" fillId="2" borderId="8" applyAlignment="1" pivotButton="0" quotePrefix="0" xfId="0">
      <alignment horizontal="center" vertical="top"/>
    </xf>
    <xf numFmtId="0" fontId="6" fillId="2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top" wrapText="1"/>
    </xf>
    <xf numFmtId="0" fontId="6" fillId="0" borderId="9" applyAlignment="1" pivotButton="0" quotePrefix="0" xfId="0">
      <alignment horizontal="center" vertical="top" wrapText="1"/>
    </xf>
    <xf numFmtId="0" fontId="6" fillId="2" borderId="6" applyAlignment="1" pivotButton="0" quotePrefix="0" xfId="0">
      <alignment horizontal="left" vertical="top"/>
    </xf>
    <xf numFmtId="0" fontId="6" fillId="2" borderId="2" applyAlignment="1" pivotButton="0" quotePrefix="0" xfId="0">
      <alignment horizontal="left" vertical="top"/>
    </xf>
    <xf numFmtId="0" fontId="6" fillId="2" borderId="7" applyAlignment="1" pivotButton="0" quotePrefix="0" xfId="0">
      <alignment horizontal="left" vertical="top"/>
    </xf>
    <xf numFmtId="0" fontId="6" fillId="2" borderId="10" applyAlignment="1" pivotButton="0" quotePrefix="0" xfId="0">
      <alignment horizontal="left" vertical="top"/>
    </xf>
    <xf numFmtId="0" fontId="6" fillId="2" borderId="11" applyAlignment="1" pivotButton="0" quotePrefix="0" xfId="0">
      <alignment horizontal="left" vertical="top"/>
    </xf>
    <xf numFmtId="0" fontId="6" fillId="2" borderId="12" applyAlignment="1" pivotButton="0" quotePrefix="0" xfId="0">
      <alignment horizontal="left" vertical="top"/>
    </xf>
    <xf numFmtId="0" fontId="6" fillId="2" borderId="8" applyAlignment="1" pivotButton="0" quotePrefix="0" xfId="0">
      <alignment horizontal="right" vertical="top"/>
    </xf>
    <xf numFmtId="0" fontId="6" fillId="2" borderId="0" applyAlignment="1" pivotButton="0" quotePrefix="0" xfId="0">
      <alignment horizontal="right" vertical="top"/>
    </xf>
    <xf numFmtId="0" fontId="2" fillId="2" borderId="6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10" applyAlignment="1" pivotButton="0" quotePrefix="0" xfId="0">
      <alignment horizontal="center"/>
    </xf>
    <xf numFmtId="0" fontId="2" fillId="2" borderId="11" applyAlignment="1" pivotButton="0" quotePrefix="0" xfId="0">
      <alignment horizontal="center"/>
    </xf>
    <xf numFmtId="0" fontId="2" fillId="2" borderId="12" applyAlignment="1" pivotButton="0" quotePrefix="0" xfId="0">
      <alignment horizontal="center"/>
    </xf>
    <xf numFmtId="0" fontId="2" fillId="2" borderId="6" applyAlignment="1" pivotButton="0" quotePrefix="0" xfId="0">
      <alignment horizontal="right" vertical="top" wrapText="1"/>
    </xf>
    <xf numFmtId="0" fontId="2" fillId="2" borderId="2" applyAlignment="1" pivotButton="0" quotePrefix="0" xfId="0">
      <alignment horizontal="right" vertical="top" wrapText="1"/>
    </xf>
    <xf numFmtId="0" fontId="2" fillId="2" borderId="7" applyAlignment="1" pivotButton="0" quotePrefix="0" xfId="0">
      <alignment horizontal="right" vertical="top" wrapText="1"/>
    </xf>
    <xf numFmtId="0" fontId="2" fillId="2" borderId="8" applyAlignment="1" pivotButton="0" quotePrefix="0" xfId="0">
      <alignment horizontal="right" vertical="top" wrapText="1"/>
    </xf>
    <xf numFmtId="0" fontId="2" fillId="2" borderId="0" applyAlignment="1" pivotButton="0" quotePrefix="0" xfId="0">
      <alignment horizontal="right" vertical="top" wrapText="1"/>
    </xf>
    <xf numFmtId="0" fontId="2" fillId="2" borderId="9" applyAlignment="1" pivotButton="0" quotePrefix="0" xfId="0">
      <alignment horizontal="right" vertical="top" wrapText="1"/>
    </xf>
    <xf numFmtId="0" fontId="2" fillId="2" borderId="10" applyAlignment="1" pivotButton="0" quotePrefix="0" xfId="0">
      <alignment horizontal="right" vertical="top" wrapText="1"/>
    </xf>
    <xf numFmtId="0" fontId="2" fillId="2" borderId="11" applyAlignment="1" pivotButton="0" quotePrefix="0" xfId="0">
      <alignment horizontal="right" vertical="top" wrapText="1"/>
    </xf>
    <xf numFmtId="0" fontId="2" fillId="2" borderId="12" applyAlignment="1" pivotButton="0" quotePrefix="0" xfId="0">
      <alignment horizontal="right" vertical="top" wrapText="1"/>
    </xf>
    <xf numFmtId="0" fontId="2" fillId="2" borderId="6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2" fillId="0" borderId="8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wrapText="1" indent="1"/>
    </xf>
    <xf numFmtId="0" fontId="2" fillId="0" borderId="9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center"/>
    </xf>
    <xf numFmtId="164" fontId="2" fillId="0" borderId="3" applyAlignment="1" pivotButton="0" quotePrefix="0" xfId="1">
      <alignment horizontal="center" vertical="center"/>
    </xf>
    <xf numFmtId="164" fontId="2" fillId="0" borderId="4" applyAlignment="1" pivotButton="0" quotePrefix="0" xfId="1">
      <alignment horizontal="center" vertical="center"/>
    </xf>
    <xf numFmtId="164" fontId="2" fillId="0" borderId="5" applyAlignment="1" pivotButton="0" quotePrefix="0" xfId="1">
      <alignment horizontal="center" vertical="center"/>
    </xf>
    <xf numFmtId="0" fontId="2" fillId="2" borderId="3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5" applyAlignment="1" pivotButton="0" quotePrefix="0" xfId="0">
      <alignment horizontal="right"/>
    </xf>
    <xf numFmtId="0" fontId="2" fillId="0" borderId="9" applyAlignment="1" pivotButton="0" quotePrefix="0" xfId="0">
      <alignment horizontal="center"/>
    </xf>
    <xf numFmtId="0" fontId="2" fillId="0" borderId="2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1" fontId="2" fillId="2" borderId="2" applyAlignment="1" pivotButton="0" quotePrefix="0" xfId="0">
      <alignment horizontal="center"/>
    </xf>
    <xf numFmtId="0" fontId="2" fillId="2" borderId="0" applyAlignment="1" pivotButton="0" quotePrefix="0" xfId="0">
      <alignment horizontal="right"/>
    </xf>
    <xf numFmtId="0" fontId="2" fillId="2" borderId="8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0" borderId="8" applyAlignment="1" pivotButton="0" quotePrefix="0" xfId="0">
      <alignment horizontal="right" indent="1"/>
    </xf>
    <xf numFmtId="0" fontId="2" fillId="0" borderId="0" applyAlignment="1" pivotButton="0" quotePrefix="0" xfId="0">
      <alignment horizontal="right" indent="1"/>
    </xf>
    <xf numFmtId="0" fontId="2" fillId="0" borderId="9" applyAlignment="1" pivotButton="0" quotePrefix="0" xfId="0">
      <alignment horizontal="right" indent="1"/>
    </xf>
    <xf numFmtId="0" fontId="2" fillId="2" borderId="3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0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right" vertical="top" wrapText="1"/>
    </xf>
    <xf numFmtId="0" fontId="2" fillId="0" borderId="9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center" wrapText="1"/>
    </xf>
    <xf numFmtId="0" fontId="0" fillId="0" borderId="55" applyProtection="1" pivotButton="0" quotePrefix="0" xfId="0">
      <protection locked="0" hidden="0"/>
    </xf>
    <xf numFmtId="0" fontId="6" fillId="6" borderId="56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2" fillId="5" borderId="56" applyAlignment="1" applyProtection="1" pivotButton="0" quotePrefix="0" xfId="0">
      <alignment horizontal="center" vertical="center"/>
      <protection locked="0" hidden="0"/>
    </xf>
    <xf numFmtId="0" fontId="0" fillId="0" borderId="30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6" fillId="3" borderId="39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6" fillId="5" borderId="40" applyAlignment="1" applyProtection="1" pivotButton="0" quotePrefix="0" xfId="0">
      <alignment horizontal="center"/>
      <protection locked="0" hidden="0"/>
    </xf>
    <xf numFmtId="0" fontId="0" fillId="0" borderId="43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0" fontId="6" fillId="5" borderId="41" applyAlignment="1" applyProtection="1" pivotButton="0" quotePrefix="0" xfId="0">
      <alignment horizontal="center"/>
      <protection locked="0" hidden="0"/>
    </xf>
    <xf numFmtId="0" fontId="0" fillId="0" borderId="46" applyProtection="1" pivotButton="0" quotePrefix="0" xfId="0">
      <protection locked="0" hidden="0"/>
    </xf>
    <xf numFmtId="0" fontId="6" fillId="5" borderId="32" applyAlignment="1" applyProtection="1" pivotButton="0" quotePrefix="0" xfId="0">
      <alignment horizontal="right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8" borderId="33" applyAlignment="1" pivotButton="0" quotePrefix="0" xfId="1">
      <alignment horizontal="center" vertical="center"/>
    </xf>
    <xf numFmtId="0" fontId="0" fillId="0" borderId="4" pivotButton="0" quotePrefix="0" xfId="0"/>
    <xf numFmtId="0" fontId="0" fillId="0" borderId="48" pivotButton="0" quotePrefix="0" xfId="0"/>
    <xf numFmtId="0" fontId="0" fillId="0" borderId="48" applyProtection="1" pivotButton="0" quotePrefix="0" xfId="0">
      <protection locked="0" hidden="0"/>
    </xf>
    <xf numFmtId="0" fontId="6" fillId="5" borderId="34" applyAlignment="1" applyProtection="1" pivotButton="0" quotePrefix="0" xfId="0">
      <alignment horizontal="right"/>
      <protection locked="0" hidden="0"/>
    </xf>
    <xf numFmtId="0" fontId="0" fillId="0" borderId="36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164" fontId="6" fillId="8" borderId="38" applyAlignment="1" pivotButton="0" quotePrefix="0" xfId="0">
      <alignment horizontal="center" vertical="center"/>
    </xf>
    <xf numFmtId="0" fontId="0" fillId="0" borderId="50" pivotButton="0" quotePrefix="0" xfId="0"/>
    <xf numFmtId="0" fontId="6" fillId="0" borderId="59" applyAlignment="1" applyProtection="1" pivotButton="0" quotePrefix="0" xfId="0">
      <alignment horizontal="center" vertical="center"/>
      <protection locked="0" hidden="0"/>
    </xf>
    <xf numFmtId="0" fontId="0" fillId="0" borderId="5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14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9" borderId="61" pivotButton="0" quotePrefix="0" xfId="0"/>
    <xf numFmtId="0" fontId="0" fillId="0" borderId="20" pivotButton="0" quotePrefix="0" xfId="0"/>
    <xf numFmtId="0" fontId="19" fillId="0" borderId="61" applyAlignment="1" pivotButton="0" quotePrefix="0" xfId="0">
      <alignment horizontal="right" vertical="center" shrinkToFit="1"/>
    </xf>
    <xf numFmtId="0" fontId="0" fillId="0" borderId="26" pivotButton="0" quotePrefix="0" xfId="0"/>
    <xf numFmtId="0" fontId="20" fillId="0" borderId="21" applyAlignment="1" pivotButton="0" quotePrefix="0" xfId="0">
      <alignment horizontal="center" vertical="center" wrapText="1" shrinkToFit="1"/>
    </xf>
    <xf numFmtId="0" fontId="0" fillId="0" borderId="5" pivotButton="0" quotePrefix="0" xfId="0"/>
    <xf numFmtId="0" fontId="0" fillId="9" borderId="61" applyAlignment="1" pivotButton="0" quotePrefix="0" xfId="0">
      <alignment horizontal="center" vertical="center" shrinkToFit="1"/>
    </xf>
    <xf numFmtId="0" fontId="0" fillId="0" borderId="25" pivotButton="0" quotePrefix="0" xfId="0"/>
    <xf numFmtId="0" fontId="20" fillId="0" borderId="61" applyAlignment="1" pivotButton="0" quotePrefix="0" xfId="0">
      <alignment horizontal="center" vertical="center" wrapText="1" shrinkToFit="1"/>
    </xf>
    <xf numFmtId="0" fontId="2" fillId="0" borderId="1" applyAlignment="1" pivotButton="0" quotePrefix="0" xfId="0">
      <alignment horizontal="right" vertical="top" wrapText="1" indent="1" readingOrder="2"/>
    </xf>
    <xf numFmtId="0" fontId="10" fillId="2" borderId="1" applyAlignment="1" pivotButton="0" quotePrefix="0" xfId="0">
      <alignment horizontal="center" vertical="center"/>
    </xf>
    <xf numFmtId="0" fontId="2" fillId="0" borderId="13" applyAlignment="1" pivotButton="0" quotePrefix="0" xfId="0">
      <alignment horizontal="right" vertical="top" wrapText="1" indent="1" readingOrder="2"/>
    </xf>
    <xf numFmtId="0" fontId="2" fillId="2" borderId="1" applyAlignment="1" pivotButton="0" quotePrefix="0" xfId="0">
      <alignment horizontal="right" vertical="center" wrapText="1" readingOrder="2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 readingOrder="2"/>
    </xf>
    <xf numFmtId="0" fontId="2" fillId="2" borderId="1" applyAlignment="1" pivotButton="0" quotePrefix="0" xfId="0">
      <alignment horizontal="right" vertical="top" wrapText="1" readingOrder="2"/>
    </xf>
    <xf numFmtId="0" fontId="6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0" fontId="2" fillId="2" borderId="1" applyAlignment="1" pivotButton="0" quotePrefix="0" xfId="0">
      <alignment horizontal="center" vertical="center"/>
    </xf>
    <xf numFmtId="0" fontId="2" fillId="0" borderId="68" applyAlignment="1" pivotButton="0" quotePrefix="0" xfId="0">
      <alignment horizontal="right" indent="1"/>
    </xf>
    <xf numFmtId="0" fontId="2" fillId="0" borderId="68" applyAlignment="1" pivotButton="0" quotePrefix="0" xfId="0">
      <alignment horizontal="right" vertical="top" wrapText="1" indent="1"/>
    </xf>
    <xf numFmtId="0" fontId="2" fillId="2" borderId="1" applyAlignment="1" pivotButton="0" quotePrefix="0" xfId="0">
      <alignment horizontal="right"/>
    </xf>
    <xf numFmtId="164" fontId="2" fillId="0" borderId="1" applyAlignment="1" pivotButton="0" quotePrefix="0" xfId="1">
      <alignment horizontal="center" vertical="center"/>
    </xf>
    <xf numFmtId="0" fontId="2" fillId="0" borderId="68" applyAlignment="1" pivotButton="0" quotePrefix="0" xfId="0">
      <alignment horizontal="right" vertical="top" wrapText="1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381000</colOff>
      <row>0</row>
      <rowOff>171450</rowOff>
    </from>
    <to>
      <col>3</col>
      <colOff>501798</colOff>
      <row>3</row>
      <rowOff>219075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33635627" y="171450"/>
          <a:ext cx="758973" cy="800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3</col>
      <colOff>161925</colOff>
      <row>2</row>
      <rowOff>76200</rowOff>
    </from>
    <to>
      <col>4</col>
      <colOff>219075</colOff>
      <row>6</row>
      <rowOff>30734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33508775" y="76200"/>
          <a:ext cx="742950" cy="78320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619125</colOff>
      <row>0</row>
      <rowOff>66675</rowOff>
    </from>
    <to>
      <col>4</col>
      <colOff>676275</colOff>
      <row>4</row>
      <rowOff>125984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32889650" y="66675"/>
          <a:ext cx="742950" cy="78320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3</col>
      <colOff>104775</colOff>
      <row>5</row>
      <rowOff>19051</rowOff>
    </from>
    <to>
      <col>4</col>
      <colOff>349398</colOff>
      <row>7</row>
      <rowOff>247651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35073902" y="923926"/>
          <a:ext cx="758973" cy="800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3</col>
      <colOff>371475</colOff>
      <row>3</row>
      <rowOff>0</rowOff>
    </from>
    <to>
      <col>4</col>
      <colOff>444648</colOff>
      <row>5</row>
      <rowOff>285750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33207002" y="542925"/>
          <a:ext cx="758973" cy="800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</col>
      <colOff>590550</colOff>
      <row>1</row>
      <rowOff>142875</rowOff>
    </from>
    <to>
      <col>2</col>
      <colOff>647700</colOff>
      <row>4</row>
      <rowOff>145034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37033025" y="323850"/>
          <a:ext cx="742950" cy="78320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 codeName="Sheet2">
    <tabColor theme="9"/>
    <outlinePr summaryBelow="1" summaryRight="1"/>
    <pageSetUpPr/>
  </sheetPr>
  <dimension ref="C1:AK65"/>
  <sheetViews>
    <sheetView rightToLeft="1" tabSelected="1" zoomScale="70" zoomScaleNormal="70" workbookViewId="0">
      <selection activeCell="D22" sqref="D22"/>
    </sheetView>
  </sheetViews>
  <sheetFormatPr baseColWidth="8" defaultRowHeight="15"/>
  <cols>
    <col width="9" customWidth="1" style="78" min="1" max="2"/>
    <col width="16.875" customWidth="1" style="78" min="3" max="3"/>
    <col width="37.5" customWidth="1" style="78" min="4" max="4"/>
    <col width="9" customWidth="1" style="78" min="5" max="5"/>
    <col width="15.625" bestFit="1" customWidth="1" style="79" min="6" max="6"/>
    <col width="15.25" customWidth="1" style="78" min="7" max="9"/>
    <col width="16.125" bestFit="1" customWidth="1" style="78" min="10" max="10"/>
    <col width="9" customWidth="1" style="78" min="11" max="11"/>
    <col width="24.25" bestFit="1" customWidth="1" style="78" min="12" max="12"/>
    <col width="11.5" customWidth="1" style="78" min="13" max="13"/>
    <col width="10.75" customWidth="1" style="78" min="14" max="14"/>
    <col width="11.5" customWidth="1" style="78" min="15" max="15"/>
    <col width="17.875" bestFit="1" customWidth="1" style="78" min="16" max="16"/>
    <col width="10.25" bestFit="1" customWidth="1" style="78" min="17" max="17"/>
    <col width="9" customWidth="1" style="78" min="18" max="32"/>
    <col width="9" customWidth="1" style="80" min="33" max="35"/>
    <col width="15.25" bestFit="1" customWidth="1" style="80" min="36" max="36"/>
    <col width="14.25" bestFit="1" customWidth="1" style="80" min="37" max="37"/>
    <col width="9" customWidth="1" style="78" min="38" max="16384"/>
  </cols>
  <sheetData>
    <row r="1" ht="15.75" customHeight="1" s="43" thickBot="1">
      <c r="AJ1" s="81">
        <f>DATE(2028,6,5)</f>
        <v/>
      </c>
    </row>
    <row r="2" ht="18" customHeight="1" s="43" thickTop="1">
      <c r="C2" s="162" t="inlineStr">
        <is>
          <t>اطلاعات عمومی</t>
        </is>
      </c>
      <c r="D2" s="346" t="n"/>
      <c r="E2" s="82" t="n"/>
      <c r="F2" s="347" t="inlineStr">
        <is>
          <t>اطلاعات قبوض</t>
        </is>
      </c>
      <c r="G2" s="348" t="n"/>
      <c r="H2" s="348" t="n"/>
      <c r="I2" s="348" t="n"/>
      <c r="J2" s="349" t="n"/>
      <c r="L2" s="350" t="inlineStr">
        <is>
          <t>نامه ها</t>
        </is>
      </c>
      <c r="M2" s="348" t="n"/>
      <c r="N2" s="348" t="n"/>
      <c r="O2" s="348" t="n"/>
      <c r="P2" s="348" t="n"/>
      <c r="Q2" s="349" t="n"/>
    </row>
    <row r="3" ht="18" customHeight="1" s="43">
      <c r="C3" s="351" t="n"/>
      <c r="D3" s="352" t="n"/>
      <c r="E3" s="82" t="n"/>
      <c r="F3" s="351" t="n"/>
      <c r="G3" s="353" t="n"/>
      <c r="H3" s="353" t="n"/>
      <c r="I3" s="353" t="n"/>
      <c r="J3" s="354" t="n"/>
      <c r="L3" s="351" t="n"/>
      <c r="M3" s="353" t="n"/>
      <c r="N3" s="353" t="n"/>
      <c r="O3" s="353" t="n"/>
      <c r="P3" s="353" t="n"/>
      <c r="Q3" s="354" t="n"/>
    </row>
    <row r="4" ht="24" customHeight="1" s="43">
      <c r="C4" s="164" t="inlineStr">
        <is>
          <t>عنوان مودی</t>
        </is>
      </c>
      <c r="D4" s="152" t="n"/>
      <c r="E4" s="82" t="n"/>
      <c r="F4" s="85" t="inlineStr">
        <is>
          <t>ردیف</t>
        </is>
      </c>
      <c r="G4" s="86" t="inlineStr">
        <is>
          <t>شماره قبض</t>
        </is>
      </c>
      <c r="H4" s="86" t="inlineStr">
        <is>
          <t>تاریخ صدور</t>
        </is>
      </c>
      <c r="I4" s="86" t="inlineStr">
        <is>
          <t>تاریخ وصول</t>
        </is>
      </c>
      <c r="J4" s="87" t="inlineStr">
        <is>
          <t>مبلغ قبض</t>
        </is>
      </c>
      <c r="L4" s="88" t="inlineStr">
        <is>
          <t>عنوان نامه</t>
        </is>
      </c>
      <c r="M4" s="90" t="inlineStr">
        <is>
          <t>شماره</t>
        </is>
      </c>
      <c r="N4" s="90" t="inlineStr">
        <is>
          <t xml:space="preserve">مورخ </t>
        </is>
      </c>
      <c r="O4" s="90" t="inlineStr">
        <is>
          <t>توضیحات</t>
        </is>
      </c>
      <c r="P4" s="90" t="inlineStr">
        <is>
          <t>مبلغ بدهی</t>
        </is>
      </c>
      <c r="Q4" s="91" t="inlineStr">
        <is>
          <t>سال</t>
        </is>
      </c>
    </row>
    <row r="5" ht="24" customHeight="1" s="43">
      <c r="C5" s="164" t="inlineStr">
        <is>
          <t>شماره اقتصادی</t>
        </is>
      </c>
      <c r="D5" s="92" t="n"/>
      <c r="E5" s="82" t="n"/>
      <c r="F5" s="93" t="n">
        <v>1</v>
      </c>
      <c r="G5" s="151" t="n"/>
      <c r="H5" s="151" t="n"/>
      <c r="I5" s="151" t="n"/>
      <c r="J5" s="95" t="n"/>
      <c r="L5" s="119" t="inlineStr">
        <is>
          <t>برگ استرداد اصلی</t>
        </is>
      </c>
      <c r="M5" s="90" t="n"/>
      <c r="N5" s="90" t="n"/>
      <c r="O5" s="90" t="n"/>
      <c r="P5" s="96" t="n"/>
      <c r="Q5" s="97" t="n"/>
    </row>
    <row r="6" ht="24" customHeight="1" s="43">
      <c r="C6" s="164" t="inlineStr">
        <is>
          <t>واحد مالیاتی</t>
        </is>
      </c>
      <c r="D6" s="92" t="n">
        <v>160300</v>
      </c>
      <c r="E6" s="82" t="n"/>
      <c r="F6" s="93" t="n">
        <v>2</v>
      </c>
      <c r="G6" s="151" t="n"/>
      <c r="H6" s="151" t="n"/>
      <c r="I6" s="151" t="n"/>
      <c r="J6" s="95" t="n"/>
      <c r="L6" s="119" t="inlineStr">
        <is>
          <t>گزارش توجیه استرداد اداره</t>
        </is>
      </c>
      <c r="M6" s="90" t="n"/>
      <c r="N6" s="90" t="n"/>
      <c r="O6" s="90" t="n"/>
      <c r="P6" s="96" t="n"/>
      <c r="Q6" s="97" t="n"/>
    </row>
    <row r="7" ht="24" customHeight="1" s="43">
      <c r="C7" s="164" t="inlineStr">
        <is>
          <t>استان</t>
        </is>
      </c>
      <c r="D7" s="152" t="inlineStr">
        <is>
          <t>خوزستان</t>
        </is>
      </c>
      <c r="E7" s="82" t="n"/>
      <c r="F7" s="93" t="n">
        <v>3</v>
      </c>
      <c r="G7" s="151" t="n"/>
      <c r="H7" s="151" t="n"/>
      <c r="I7" s="151" t="n"/>
      <c r="J7" s="95" t="n"/>
      <c r="L7" s="119" t="inlineStr">
        <is>
          <t>تعهد اداره مالیاتی</t>
        </is>
      </c>
      <c r="M7" s="90" t="n"/>
      <c r="N7" s="90" t="n"/>
      <c r="O7" s="90" t="n"/>
      <c r="P7" s="96" t="n"/>
      <c r="Q7" s="97" t="n"/>
    </row>
    <row r="8" ht="24" customHeight="1" s="43">
      <c r="C8" s="164" t="inlineStr">
        <is>
          <t>شهرستان</t>
        </is>
      </c>
      <c r="D8" s="152" t="inlineStr">
        <is>
          <t>اهواز</t>
        </is>
      </c>
      <c r="E8" s="82" t="n"/>
      <c r="F8" s="93" t="n">
        <v>4</v>
      </c>
      <c r="G8" s="151" t="n"/>
      <c r="H8" s="151" t="n"/>
      <c r="I8" s="151" t="n"/>
      <c r="J8" s="95" t="n"/>
      <c r="L8" s="119" t="inlineStr">
        <is>
          <t>نامه ذیحسابی</t>
        </is>
      </c>
      <c r="M8" s="90" t="n"/>
      <c r="N8" s="90" t="n"/>
      <c r="O8" s="90" t="n"/>
      <c r="P8" s="96" t="n"/>
      <c r="Q8" s="97" t="n"/>
    </row>
    <row r="9" ht="24" customHeight="1" s="43">
      <c r="C9" s="164" t="inlineStr">
        <is>
          <t>سال استرداد</t>
        </is>
      </c>
      <c r="D9" s="152" t="n"/>
      <c r="E9" s="82" t="n"/>
      <c r="F9" s="93" t="n">
        <v>5</v>
      </c>
      <c r="G9" s="151" t="n"/>
      <c r="H9" s="151" t="n"/>
      <c r="I9" s="151" t="n"/>
      <c r="J9" s="95" t="n"/>
      <c r="L9" s="119" t="inlineStr">
        <is>
          <t>وصول و اجرا</t>
        </is>
      </c>
      <c r="M9" s="90" t="n"/>
      <c r="N9" s="90" t="n"/>
      <c r="O9" s="90" t="n"/>
      <c r="P9" s="96" t="n"/>
      <c r="Q9" s="97" t="n"/>
      <c r="AJ9" s="80" t="inlineStr">
        <is>
          <t>عملکرد</t>
        </is>
      </c>
    </row>
    <row r="10" ht="24" customHeight="1" s="43">
      <c r="C10" s="164" t="inlineStr">
        <is>
          <t>دوره</t>
        </is>
      </c>
      <c r="D10" s="152" t="n"/>
      <c r="E10" s="82" t="n"/>
      <c r="F10" s="93" t="n">
        <v>6</v>
      </c>
      <c r="G10" s="151" t="n"/>
      <c r="H10" s="151" t="n"/>
      <c r="I10" s="151" t="n"/>
      <c r="J10" s="95" t="n"/>
      <c r="L10" s="120" t="inlineStr">
        <is>
          <t>واحد مالیاتی تکلیفی</t>
        </is>
      </c>
      <c r="M10" s="98" t="n"/>
      <c r="N10" s="90" t="n"/>
      <c r="O10" s="98" t="n"/>
      <c r="P10" s="96" t="n"/>
      <c r="Q10" s="97" t="n"/>
      <c r="AJ10" s="80" t="inlineStr">
        <is>
          <t>ارزش افزوده</t>
        </is>
      </c>
    </row>
    <row r="11" ht="24" customHeight="1" s="43">
      <c r="C11" s="164" t="inlineStr">
        <is>
          <t>منبع مالیاتی</t>
        </is>
      </c>
      <c r="D11" s="152" t="n"/>
      <c r="E11" s="82" t="n"/>
      <c r="F11" s="93" t="n">
        <v>7</v>
      </c>
      <c r="G11" s="151" t="n"/>
      <c r="H11" s="151" t="n"/>
      <c r="I11" s="151" t="n"/>
      <c r="J11" s="95" t="n"/>
      <c r="L11" s="119" t="inlineStr">
        <is>
          <t>درخواست استرداد مودی</t>
        </is>
      </c>
      <c r="M11" s="98" t="n"/>
      <c r="N11" s="90" t="n"/>
      <c r="O11" s="99" t="n"/>
      <c r="P11" s="100" t="n"/>
      <c r="Q11" s="97" t="n"/>
      <c r="AJ11" s="80" t="inlineStr">
        <is>
          <t>حقوق</t>
        </is>
      </c>
    </row>
    <row r="12" ht="24" customHeight="1" s="43">
      <c r="C12" s="164" t="inlineStr">
        <is>
          <t>رئیس امور</t>
        </is>
      </c>
      <c r="D12" s="152" t="inlineStr">
        <is>
          <t>غلامرضا اسلامی</t>
        </is>
      </c>
      <c r="E12" s="82" t="n"/>
      <c r="F12" s="93" t="n">
        <v>8</v>
      </c>
      <c r="G12" s="151" t="n"/>
      <c r="H12" s="151" t="n"/>
      <c r="I12" s="151" t="n"/>
      <c r="J12" s="95" t="n"/>
      <c r="L12" s="119" t="n"/>
      <c r="M12" s="99" t="n"/>
      <c r="N12" s="90" t="n"/>
      <c r="O12" s="99" t="n"/>
      <c r="P12" s="100" t="n"/>
      <c r="Q12" s="97" t="n"/>
    </row>
    <row r="13" ht="24" customHeight="1" s="43">
      <c r="C13" s="164" t="inlineStr">
        <is>
          <t>رئیس گروه</t>
        </is>
      </c>
      <c r="D13" s="152" t="inlineStr">
        <is>
          <t>مسعود بصیر</t>
        </is>
      </c>
      <c r="E13" s="82" t="n"/>
      <c r="F13" s="93" t="n">
        <v>9</v>
      </c>
      <c r="G13" s="151" t="n"/>
      <c r="H13" s="151" t="n"/>
      <c r="I13" s="151" t="n"/>
      <c r="J13" s="95" t="n"/>
      <c r="L13" s="119" t="n"/>
      <c r="M13" s="99" t="n"/>
      <c r="N13" s="90" t="n"/>
      <c r="O13" s="99" t="n"/>
      <c r="P13" s="100" t="n"/>
      <c r="Q13" s="97" t="n"/>
    </row>
    <row r="14" ht="24" customHeight="1" s="43">
      <c r="C14" s="164" t="inlineStr">
        <is>
          <t>کارشناس ارشد</t>
        </is>
      </c>
      <c r="D14" s="152" t="inlineStr">
        <is>
          <t>مهدی دلفی</t>
        </is>
      </c>
      <c r="E14" s="82" t="n"/>
      <c r="F14" s="93" t="n">
        <v>10</v>
      </c>
      <c r="G14" s="151" t="n"/>
      <c r="H14" s="151" t="n"/>
      <c r="I14" s="151" t="n"/>
      <c r="J14" s="95" t="n"/>
      <c r="L14" s="119" t="n"/>
      <c r="M14" s="99" t="n"/>
      <c r="N14" s="90" t="n"/>
      <c r="O14" s="99" t="n"/>
      <c r="P14" s="100" t="n"/>
      <c r="Q14" s="97" t="n"/>
    </row>
    <row r="15" ht="24.75" customHeight="1" s="43" thickBot="1">
      <c r="C15" s="164" t="inlineStr">
        <is>
          <t>بانک مودی</t>
        </is>
      </c>
      <c r="D15" s="152" t="n"/>
      <c r="E15" s="82" t="n"/>
      <c r="F15" s="93" t="n">
        <v>11</v>
      </c>
      <c r="G15" s="151" t="n"/>
      <c r="H15" s="151" t="n"/>
      <c r="I15" s="151" t="n"/>
      <c r="J15" s="95" t="n"/>
      <c r="L15" s="115" t="inlineStr">
        <is>
          <t>جمع</t>
        </is>
      </c>
      <c r="M15" s="116" t="n"/>
      <c r="N15" s="116" t="n"/>
      <c r="O15" s="116" t="n"/>
      <c r="P15" s="117" t="n"/>
      <c r="Q15" s="118" t="n"/>
    </row>
    <row r="16" ht="24.75" customHeight="1" s="43" thickTop="1">
      <c r="C16" s="164" t="inlineStr">
        <is>
          <t>شماره شبا</t>
        </is>
      </c>
      <c r="D16" s="152" t="n"/>
      <c r="E16" s="82" t="n"/>
      <c r="F16" s="93" t="n">
        <v>12</v>
      </c>
      <c r="G16" s="151" t="n"/>
      <c r="H16" s="151" t="n"/>
      <c r="I16" s="151" t="n"/>
      <c r="J16" s="95" t="n"/>
    </row>
    <row r="17" ht="24" customHeight="1" s="43">
      <c r="C17" s="164" t="inlineStr">
        <is>
          <t>نشانی مودی</t>
        </is>
      </c>
      <c r="D17" s="152" t="n"/>
      <c r="E17" s="82" t="n"/>
      <c r="F17" s="93" t="n">
        <v>13</v>
      </c>
      <c r="G17" s="151" t="n"/>
      <c r="H17" s="151" t="n"/>
      <c r="I17" s="151" t="n"/>
      <c r="J17" s="95" t="n"/>
      <c r="AI17" s="101" t="inlineStr">
        <is>
          <t>بله</t>
        </is>
      </c>
      <c r="AK17" s="102" t="inlineStr">
        <is>
          <t>قبول زیان</t>
        </is>
      </c>
    </row>
    <row r="18" ht="39" customHeight="1" s="43" thickBot="1">
      <c r="C18" s="164" t="inlineStr">
        <is>
          <t>علت استرداد</t>
        </is>
      </c>
      <c r="D18" s="103" t="n"/>
      <c r="E18" s="82" t="n"/>
      <c r="F18" s="113">
        <f>IF(TODAY()&gt;=AJ1,"*فایل منقضی شد*","تعداد کل قبوض: "&amp;COUNT(G5:G17))</f>
        <v/>
      </c>
      <c r="G18" s="355" t="inlineStr">
        <is>
          <t>جمع</t>
        </is>
      </c>
      <c r="H18" s="356" t="n"/>
      <c r="I18" s="357" t="n"/>
      <c r="J18" s="114">
        <f>IF(TODAY()&gt;=AJ1,"*فایل منقضی شد*",SUM(J5:J17))</f>
        <v/>
      </c>
      <c r="AI18" s="101" t="inlineStr">
        <is>
          <t>خیر</t>
        </is>
      </c>
      <c r="AK18" s="102" t="inlineStr">
        <is>
          <t>معافیت مالیاتی</t>
        </is>
      </c>
    </row>
    <row r="19" ht="24.75" customHeight="1" s="43" thickTop="1">
      <c r="C19" s="164" t="inlineStr">
        <is>
          <t>شماره پرونده</t>
        </is>
      </c>
      <c r="D19" s="152" t="n"/>
      <c r="E19" s="82" t="n"/>
      <c r="F19" s="104" t="n"/>
      <c r="G19" s="82" t="n"/>
      <c r="H19" s="82" t="n"/>
      <c r="I19" s="82" t="n"/>
      <c r="J19" s="82" t="n"/>
      <c r="AK19" s="102" t="inlineStr">
        <is>
          <t>رسیدگی به دفار</t>
        </is>
      </c>
    </row>
    <row r="20" ht="24" customHeight="1" s="43">
      <c r="C20" s="164" t="n"/>
      <c r="D20" s="152" t="n"/>
      <c r="E20" s="82" t="n"/>
      <c r="F20" s="104" t="n"/>
      <c r="G20" s="82" t="n"/>
      <c r="H20" s="82" t="n"/>
      <c r="I20" s="82" t="n"/>
      <c r="J20" s="82" t="n"/>
      <c r="AK20" s="102" t="inlineStr">
        <is>
          <t>تایید اظهارنامه</t>
        </is>
      </c>
    </row>
    <row r="21" ht="24" customHeight="1" s="43">
      <c r="C21" s="164" t="n"/>
      <c r="D21" s="152" t="n"/>
      <c r="E21" s="82" t="n"/>
      <c r="F21" s="105" t="n"/>
      <c r="G21" s="105" t="n"/>
      <c r="H21" s="105" t="n"/>
      <c r="I21" s="105" t="n"/>
      <c r="J21" s="105" t="n"/>
      <c r="K21" s="105" t="n"/>
      <c r="L21" s="105" t="n"/>
      <c r="M21" s="105" t="n"/>
      <c r="AK21" s="102" t="inlineStr">
        <is>
          <t>علی الراس</t>
        </is>
      </c>
    </row>
    <row r="22" ht="24" customHeight="1" s="43">
      <c r="C22" s="164" t="n"/>
      <c r="D22" s="152" t="n"/>
      <c r="E22" s="82" t="n"/>
      <c r="F22" s="105" t="n"/>
      <c r="G22" s="105" t="n"/>
      <c r="H22" s="105" t="n"/>
      <c r="I22" s="105" t="n"/>
      <c r="J22" s="105" t="n"/>
      <c r="K22" s="106" t="n"/>
      <c r="L22" s="106" t="n"/>
      <c r="M22" s="106" t="n"/>
    </row>
    <row r="23" ht="24.75" customHeight="1" s="43" thickBot="1">
      <c r="C23" s="107" t="n"/>
      <c r="D23" s="108" t="n"/>
      <c r="E23" s="82" t="n"/>
      <c r="F23" s="105" t="n"/>
      <c r="G23" s="105" t="n"/>
      <c r="H23" s="105" t="n"/>
      <c r="I23" s="105" t="n"/>
      <c r="J23" s="105" t="n"/>
      <c r="K23" s="106" t="n"/>
      <c r="L23" s="106" t="n"/>
      <c r="M23" s="106" t="n"/>
    </row>
    <row r="24" ht="23.25" customHeight="1" s="43" thickTop="1">
      <c r="F24" s="105" t="n"/>
      <c r="G24" s="105" t="n"/>
      <c r="H24" s="105" t="n"/>
      <c r="I24" s="105" t="n"/>
      <c r="J24" s="105" t="n"/>
      <c r="K24" s="106" t="n"/>
      <c r="L24" s="106" t="n"/>
      <c r="M24" s="109" t="n"/>
      <c r="N24" s="109" t="n"/>
      <c r="O24" s="109" t="n"/>
      <c r="P24" s="109" t="n"/>
      <c r="Q24" s="109" t="n"/>
      <c r="R24" s="109" t="n"/>
    </row>
    <row r="25" ht="15" customHeight="1" s="43" thickBot="1">
      <c r="M25" s="109" t="n"/>
      <c r="N25" s="109" t="n"/>
      <c r="O25" s="109" t="n"/>
      <c r="P25" s="109" t="n"/>
      <c r="Q25" s="109" t="n"/>
      <c r="R25" s="109" t="n"/>
    </row>
    <row r="26" ht="24.75" customHeight="1" s="43" thickTop="1">
      <c r="C26" s="358" t="inlineStr">
        <is>
          <t>شرح مبالغ قابل استرداد</t>
        </is>
      </c>
      <c r="D26" s="359" t="n"/>
      <c r="E26" s="359" t="n"/>
      <c r="F26" s="359" t="n"/>
      <c r="G26" s="360" t="n"/>
      <c r="H26" s="361" t="inlineStr">
        <is>
          <t>مبلغ به ریال</t>
        </is>
      </c>
      <c r="I26" s="359" t="n"/>
      <c r="J26" s="362" t="n"/>
      <c r="M26" s="109" t="n"/>
      <c r="N26" s="109" t="n"/>
      <c r="O26" s="109" t="n"/>
      <c r="P26" s="109" t="n"/>
      <c r="Q26" s="109" t="n"/>
      <c r="R26" s="109" t="n"/>
    </row>
    <row r="27" ht="24" customHeight="1" s="43">
      <c r="C27" s="363" t="inlineStr">
        <is>
          <t>اصل مالیات</t>
        </is>
      </c>
      <c r="D27" s="364" t="n"/>
      <c r="E27" s="364" t="n"/>
      <c r="F27" s="364" t="n"/>
      <c r="G27" s="365" t="n"/>
      <c r="H27" s="366">
        <f>IF(TODAY()&gt;=AJ1,"*فایل منقضی شد*",-E62-P15)</f>
        <v/>
      </c>
      <c r="I27" s="367" t="n"/>
      <c r="J27" s="368" t="n"/>
      <c r="M27" s="109" t="n"/>
      <c r="N27" s="109" t="n"/>
      <c r="O27" s="109" t="n"/>
      <c r="P27" s="109" t="n"/>
      <c r="Q27" s="109" t="n"/>
      <c r="R27" s="109" t="n"/>
    </row>
    <row r="28" ht="24" customHeight="1" s="43">
      <c r="C28" s="363" t="inlineStr">
        <is>
          <t>حق تمبر</t>
        </is>
      </c>
      <c r="D28" s="364" t="n"/>
      <c r="E28" s="364" t="n"/>
      <c r="F28" s="364" t="n"/>
      <c r="G28" s="365" t="n"/>
      <c r="H28" s="95" t="n"/>
      <c r="I28" s="364" t="n"/>
      <c r="J28" s="369" t="n"/>
    </row>
    <row r="29" ht="24" customHeight="1" s="43">
      <c r="C29" s="363" t="inlineStr">
        <is>
          <t>سایر</t>
        </is>
      </c>
      <c r="D29" s="364" t="n"/>
      <c r="E29" s="364" t="n"/>
      <c r="F29" s="364" t="n"/>
      <c r="G29" s="365" t="n"/>
      <c r="H29" s="95" t="n"/>
      <c r="I29" s="364" t="n"/>
      <c r="J29" s="369" t="n"/>
    </row>
    <row r="30" ht="24" customHeight="1" s="43">
      <c r="C30" s="363" t="inlineStr">
        <is>
          <t>جرایم</t>
        </is>
      </c>
      <c r="D30" s="364" t="n"/>
      <c r="E30" s="364" t="n"/>
      <c r="F30" s="364" t="n"/>
      <c r="G30" s="365" t="n"/>
      <c r="H30" s="95" t="n"/>
      <c r="I30" s="364" t="n"/>
      <c r="J30" s="369" t="n"/>
    </row>
    <row r="31" ht="24" customHeight="1" s="43">
      <c r="C31" s="363" t="inlineStr">
        <is>
          <t>خسارت تاخیر در استرداد (تبصره ماده 243)</t>
        </is>
      </c>
      <c r="D31" s="364" t="n"/>
      <c r="E31" s="364" t="n"/>
      <c r="F31" s="364" t="n"/>
      <c r="G31" s="365" t="n"/>
      <c r="H31" s="95" t="n"/>
      <c r="I31" s="364" t="n"/>
      <c r="J31" s="369" t="n"/>
    </row>
    <row r="32" ht="24.75" customHeight="1" s="43" thickBot="1">
      <c r="C32" s="370" t="inlineStr">
        <is>
          <t>جمع کل</t>
        </is>
      </c>
      <c r="D32" s="371" t="n"/>
      <c r="E32" s="371" t="n"/>
      <c r="F32" s="371" t="n"/>
      <c r="G32" s="372" t="n"/>
      <c r="H32" s="373">
        <f>IF(TODAY()&gt;=AJ1,"*فایل منقضی شد*",SUM(H27:H31))</f>
        <v/>
      </c>
      <c r="I32" s="356" t="n"/>
      <c r="J32" s="374" t="n"/>
      <c r="L32" s="110" t="n"/>
    </row>
    <row r="33" ht="16.5" customHeight="1" s="43" thickBot="1" thickTop="1">
      <c r="C33" s="111" t="n"/>
      <c r="D33" s="111" t="n"/>
      <c r="E33" s="111" t="n"/>
      <c r="F33" s="112" t="n"/>
      <c r="G33" s="111" t="n"/>
      <c r="H33" s="111" t="n"/>
      <c r="I33" s="111" t="n"/>
      <c r="J33" s="111" t="n"/>
    </row>
    <row r="34" ht="15.75" customHeight="1" s="43" thickTop="1">
      <c r="C34" s="141" t="inlineStr">
        <is>
          <t>مودی اظهار نامه تسلیم نموده؟</t>
        </is>
      </c>
      <c r="D34" s="346" t="n"/>
      <c r="E34" s="375" t="n"/>
      <c r="F34" s="112" t="n"/>
      <c r="G34" s="111" t="n"/>
      <c r="H34" s="111" t="n"/>
      <c r="I34" s="111" t="n"/>
      <c r="J34" s="111" t="n"/>
    </row>
    <row r="35" ht="15.75" customHeight="1" s="43" thickBot="1">
      <c r="C35" s="351" t="n"/>
      <c r="D35" s="352" t="n"/>
      <c r="E35" s="376" t="n"/>
      <c r="F35" s="112" t="n"/>
      <c r="G35" s="111" t="n"/>
      <c r="H35" s="111" t="n"/>
      <c r="I35" s="111" t="n"/>
      <c r="J35" s="111" t="n"/>
    </row>
    <row r="36" ht="14.25" customHeight="1" s="43" thickTop="1">
      <c r="C36" s="141" t="inlineStr">
        <is>
          <t>شماره اظهارنامه</t>
        </is>
      </c>
      <c r="D36" s="346" t="n"/>
      <c r="E36" s="149" t="n"/>
      <c r="F36" s="346" t="n"/>
      <c r="G36" s="111" t="n"/>
      <c r="H36" s="111" t="n"/>
      <c r="I36" s="111" t="n"/>
      <c r="J36" s="111" t="n"/>
    </row>
    <row r="37" ht="14.25" customHeight="1" s="43">
      <c r="C37" s="351" t="n"/>
      <c r="D37" s="352" t="n"/>
      <c r="E37" s="377" t="n"/>
      <c r="F37" s="352" t="n"/>
      <c r="G37" s="111" t="n"/>
      <c r="H37" s="111" t="n"/>
      <c r="I37" s="111" t="n"/>
      <c r="J37" s="111" t="n"/>
    </row>
    <row r="38">
      <c r="C38" s="121" t="inlineStr">
        <is>
          <t>تاریخ تسلیم اظهارنامه</t>
        </is>
      </c>
      <c r="D38" s="378" t="n"/>
      <c r="E38" s="151" t="n"/>
      <c r="F38" s="378" t="n"/>
      <c r="G38" s="111" t="n"/>
      <c r="H38" s="111" t="n"/>
      <c r="I38" s="111" t="n"/>
      <c r="J38" s="111" t="n"/>
    </row>
    <row r="39">
      <c r="C39" s="351" t="n"/>
      <c r="D39" s="352" t="n"/>
      <c r="E39" s="377" t="n"/>
      <c r="F39" s="352" t="n"/>
      <c r="G39" s="111" t="n"/>
      <c r="H39" s="111" t="n"/>
      <c r="I39" s="111" t="n"/>
      <c r="J39" s="111" t="n"/>
    </row>
    <row r="40">
      <c r="C40" s="121" t="inlineStr">
        <is>
          <t>نحوه قطعی شدن پرونده</t>
        </is>
      </c>
      <c r="D40" s="378" t="n"/>
      <c r="E40" s="131" t="n"/>
      <c r="F40" s="378" t="n"/>
      <c r="G40" s="111" t="n"/>
      <c r="H40" s="111" t="n"/>
      <c r="I40" s="111" t="n"/>
      <c r="J40" s="111" t="n"/>
    </row>
    <row r="41">
      <c r="C41" s="351" t="n"/>
      <c r="D41" s="352" t="n"/>
      <c r="E41" s="377" t="n"/>
      <c r="F41" s="352" t="n"/>
      <c r="G41" s="111" t="n"/>
      <c r="H41" s="111" t="n"/>
      <c r="I41" s="111" t="n"/>
      <c r="J41" s="111" t="n"/>
    </row>
    <row r="42">
      <c r="C42" s="121" t="inlineStr">
        <is>
          <t>شماره برگ قطعی</t>
        </is>
      </c>
      <c r="D42" s="378" t="n"/>
      <c r="E42" s="131" t="n"/>
      <c r="F42" s="378" t="n"/>
      <c r="G42" s="111" t="n"/>
      <c r="H42" s="111" t="n"/>
      <c r="I42" s="111" t="n"/>
      <c r="J42" s="111" t="n"/>
    </row>
    <row r="43">
      <c r="C43" s="351" t="n"/>
      <c r="D43" s="352" t="n"/>
      <c r="E43" s="377" t="n"/>
      <c r="F43" s="352" t="n"/>
      <c r="G43" s="111" t="n"/>
      <c r="H43" s="111" t="n"/>
      <c r="I43" s="111" t="n"/>
      <c r="J43" s="111" t="n"/>
    </row>
    <row r="44">
      <c r="C44" s="121" t="inlineStr">
        <is>
          <t>تاریخ برگ قطعی</t>
        </is>
      </c>
      <c r="D44" s="378" t="n"/>
      <c r="E44" s="131" t="n"/>
      <c r="F44" s="378" t="n"/>
      <c r="G44" s="111" t="n"/>
      <c r="H44" s="111" t="n"/>
      <c r="I44" s="111" t="n"/>
      <c r="J44" s="111" t="n"/>
    </row>
    <row r="45">
      <c r="C45" s="351" t="n"/>
      <c r="D45" s="352" t="n"/>
      <c r="E45" s="377" t="n"/>
      <c r="F45" s="352" t="n"/>
      <c r="G45" s="111" t="n"/>
      <c r="H45" s="111" t="n"/>
      <c r="I45" s="111" t="n"/>
      <c r="J45" s="111" t="n"/>
    </row>
    <row r="46">
      <c r="C46" s="121" t="inlineStr">
        <is>
          <t>درامد تشخیصی قبل از کسر مالیات</t>
        </is>
      </c>
      <c r="D46" s="378" t="n"/>
      <c r="E46" s="129" t="n"/>
      <c r="F46" s="378" t="n"/>
      <c r="G46" s="111" t="n"/>
      <c r="H46" s="111" t="n"/>
      <c r="I46" s="111" t="n"/>
      <c r="J46" s="111" t="n"/>
    </row>
    <row r="47">
      <c r="C47" s="351" t="n"/>
      <c r="D47" s="352" t="n"/>
      <c r="E47" s="377" t="n"/>
      <c r="F47" s="352" t="n"/>
      <c r="G47" s="111" t="n"/>
      <c r="H47" s="111" t="n"/>
      <c r="I47" s="111" t="n"/>
      <c r="J47" s="111" t="n"/>
    </row>
    <row r="48">
      <c r="C48" s="121" t="inlineStr">
        <is>
          <t xml:space="preserve">جمع معافیتها و بخشودگی </t>
        </is>
      </c>
      <c r="D48" s="378" t="n"/>
      <c r="E48" s="129" t="n"/>
      <c r="F48" s="378" t="n"/>
      <c r="G48" s="111" t="n"/>
      <c r="H48" s="111" t="n"/>
      <c r="I48" s="111" t="n"/>
      <c r="J48" s="111" t="n"/>
    </row>
    <row r="49">
      <c r="C49" s="351" t="n"/>
      <c r="D49" s="352" t="n"/>
      <c r="E49" s="377" t="n"/>
      <c r="F49" s="352" t="n"/>
      <c r="G49" s="111" t="n"/>
      <c r="H49" s="111" t="n"/>
      <c r="I49" s="111" t="n"/>
      <c r="J49" s="111" t="n"/>
    </row>
    <row r="50">
      <c r="C50" s="121" t="inlineStr">
        <is>
          <t>مانده مشمول</t>
        </is>
      </c>
      <c r="D50" s="378" t="n"/>
      <c r="E50" s="125">
        <f>IF(TODAY()&gt;=AJ1,"*فایل منقضی شد*",E46-E48)</f>
        <v/>
      </c>
      <c r="F50" s="59" t="n"/>
      <c r="G50" s="111" t="n"/>
      <c r="H50" s="111" t="n"/>
      <c r="I50" s="111" t="n"/>
      <c r="J50" s="111" t="n"/>
    </row>
    <row r="51">
      <c r="C51" s="351" t="n"/>
      <c r="D51" s="352" t="n"/>
      <c r="E51" s="47" t="n"/>
      <c r="F51" s="31" t="n"/>
      <c r="G51" s="111" t="n"/>
      <c r="H51" s="111" t="n"/>
      <c r="I51" s="111" t="n"/>
      <c r="J51" s="111" t="n"/>
    </row>
    <row r="52">
      <c r="C52" s="121" t="inlineStr">
        <is>
          <t>مالیات تشخیصی</t>
        </is>
      </c>
      <c r="D52" s="378" t="n"/>
      <c r="E52" s="129" t="n"/>
      <c r="F52" s="378" t="n"/>
      <c r="G52" s="111" t="n"/>
      <c r="H52" s="111" t="n"/>
      <c r="I52" s="111" t="n"/>
      <c r="J52" s="111" t="n"/>
    </row>
    <row r="53">
      <c r="C53" s="351" t="n"/>
      <c r="D53" s="352" t="n"/>
      <c r="E53" s="377" t="n"/>
      <c r="F53" s="352" t="n"/>
      <c r="G53" s="111" t="n"/>
      <c r="H53" s="111" t="n"/>
      <c r="I53" s="111" t="n"/>
      <c r="J53" s="111" t="n"/>
    </row>
    <row r="54">
      <c r="C54" s="121" t="inlineStr">
        <is>
          <t>اضافه می گردد جرایم غیر قابل بخشش</t>
        </is>
      </c>
      <c r="D54" s="378" t="n"/>
      <c r="E54" s="129" t="n"/>
      <c r="F54" s="378" t="n"/>
      <c r="G54" s="111" t="n"/>
      <c r="H54" s="111" t="n"/>
      <c r="I54" s="111" t="n"/>
      <c r="J54" s="111" t="n"/>
    </row>
    <row r="55">
      <c r="C55" s="351" t="n"/>
      <c r="D55" s="352" t="n"/>
      <c r="E55" s="377" t="n"/>
      <c r="F55" s="352" t="n"/>
      <c r="G55" s="111" t="n"/>
      <c r="H55" s="111" t="n"/>
      <c r="I55" s="111" t="n"/>
      <c r="J55" s="111" t="n"/>
    </row>
    <row r="56">
      <c r="C56" s="121" t="inlineStr">
        <is>
          <t>جمع</t>
        </is>
      </c>
      <c r="D56" s="378" t="n"/>
      <c r="E56" s="125">
        <f>IF(TODAY()&gt;=AJ1,"*فایل منقضی شد*",E52+E54)</f>
        <v/>
      </c>
      <c r="F56" s="59" t="n"/>
      <c r="G56" s="111" t="n"/>
      <c r="H56" s="111" t="n"/>
      <c r="I56" s="111" t="n"/>
      <c r="J56" s="111" t="n"/>
    </row>
    <row r="57">
      <c r="C57" s="351" t="n"/>
      <c r="D57" s="352" t="n"/>
      <c r="E57" s="47" t="n"/>
      <c r="F57" s="31" t="n"/>
      <c r="G57" s="111" t="n"/>
      <c r="H57" s="111" t="n"/>
      <c r="I57" s="111" t="n"/>
      <c r="J57" s="111" t="n"/>
    </row>
    <row r="58">
      <c r="C58" s="121" t="inlineStr">
        <is>
          <t>کسر می شود جایزه خوش حسابی</t>
        </is>
      </c>
      <c r="D58" s="378" t="n"/>
      <c r="E58" s="129" t="n"/>
      <c r="F58" s="378" t="n"/>
      <c r="G58" s="111" t="n"/>
      <c r="H58" s="111" t="n"/>
      <c r="I58" s="111" t="n"/>
      <c r="J58" s="111" t="n"/>
    </row>
    <row r="59">
      <c r="C59" s="351" t="n"/>
      <c r="D59" s="352" t="n"/>
      <c r="E59" s="377" t="n"/>
      <c r="F59" s="352" t="n"/>
      <c r="G59" s="111" t="n"/>
      <c r="H59" s="111" t="n"/>
      <c r="I59" s="111" t="n"/>
      <c r="J59" s="111" t="n"/>
    </row>
    <row r="60">
      <c r="C60" s="121" t="inlineStr">
        <is>
          <t>کسر می شود به شرح جدول الف</t>
        </is>
      </c>
      <c r="D60" s="378" t="n"/>
      <c r="E60" s="125">
        <f>IF(TODAY()&gt;=AJ1,"*فایل منقضی شد*",J18)</f>
        <v/>
      </c>
      <c r="F60" s="59" t="n"/>
      <c r="G60" s="111" t="n"/>
      <c r="H60" s="111" t="n"/>
      <c r="I60" s="111" t="n"/>
      <c r="J60" s="111" t="n"/>
    </row>
    <row r="61">
      <c r="C61" s="351" t="n"/>
      <c r="D61" s="352" t="n"/>
      <c r="E61" s="47" t="n"/>
      <c r="F61" s="31" t="n"/>
      <c r="G61" s="111" t="n"/>
      <c r="H61" s="111" t="n"/>
      <c r="I61" s="111" t="n"/>
      <c r="J61" s="111" t="n"/>
    </row>
    <row r="62">
      <c r="C62" s="121" t="inlineStr">
        <is>
          <t>مازاد پرداختی</t>
        </is>
      </c>
      <c r="D62" s="378" t="n"/>
      <c r="E62" s="125">
        <f>IF(TODAY()&gt;=AJ1,"*فایل منقضی شد*",E56-E58-E60)</f>
        <v/>
      </c>
      <c r="F62" s="59" t="n"/>
      <c r="G62" s="111" t="n"/>
      <c r="H62" s="111" t="n"/>
      <c r="I62" s="111" t="n"/>
      <c r="J62" s="111" t="n"/>
    </row>
    <row r="63" ht="15.75" customHeight="1" s="43" thickBot="1">
      <c r="C63" s="351" t="n"/>
      <c r="D63" s="352" t="n"/>
      <c r="E63" s="47" t="n"/>
      <c r="F63" s="31" t="n"/>
      <c r="G63" s="111" t="n"/>
      <c r="H63" s="111" t="n"/>
      <c r="I63" s="111" t="n"/>
      <c r="J63" s="111" t="n"/>
    </row>
    <row r="64" ht="15.75" customHeight="1" s="43" thickTop="1">
      <c r="C64" s="111" t="n"/>
      <c r="D64" s="111" t="n"/>
      <c r="E64" s="111" t="n"/>
      <c r="F64" s="112" t="n"/>
      <c r="G64" s="111" t="n"/>
      <c r="H64" s="111" t="n"/>
      <c r="I64" s="111" t="n"/>
      <c r="J64" s="111" t="n"/>
    </row>
    <row r="65">
      <c r="C65" s="111" t="n"/>
      <c r="D65" s="111" t="n"/>
      <c r="E65" s="111" t="n"/>
      <c r="F65" s="112" t="n"/>
      <c r="G65" s="111" t="n"/>
      <c r="H65" s="111" t="n"/>
      <c r="I65" s="111" t="n"/>
      <c r="J65" s="111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7DkUECU5OFHlnV60/WrcDw==" formatRows="1" sort="1" spinCount="100000" hashValue="iYu/P6x0UHqwvlB7XhWN2NUCt8kmeegi3c+NLNQDoKE8OuBP2Hp+lJGtUQX3Nh0BiGjoJ5yxnqklB8MfBSQZYA=="/>
  <mergeCells count="48">
    <mergeCell ref="C30:G30"/>
    <mergeCell ref="C46:D47"/>
    <mergeCell ref="L2:Q3"/>
    <mergeCell ref="E38:F39"/>
    <mergeCell ref="C2:D3"/>
    <mergeCell ref="C40:D41"/>
    <mergeCell ref="E46:F47"/>
    <mergeCell ref="E40:F41"/>
    <mergeCell ref="G18:I18"/>
    <mergeCell ref="C36:D37"/>
    <mergeCell ref="E54:F55"/>
    <mergeCell ref="E34:E35"/>
    <mergeCell ref="C52:D53"/>
    <mergeCell ref="C26:G26"/>
    <mergeCell ref="C29:G29"/>
    <mergeCell ref="H32:J32"/>
    <mergeCell ref="C60:D61"/>
    <mergeCell ref="E36:F37"/>
    <mergeCell ref="H28:J28"/>
    <mergeCell ref="C48:D49"/>
    <mergeCell ref="H27:J27"/>
    <mergeCell ref="E50:F51"/>
    <mergeCell ref="C31:G31"/>
    <mergeCell ref="C62:D63"/>
    <mergeCell ref="C38:D39"/>
    <mergeCell ref="E62:F63"/>
    <mergeCell ref="E56:F57"/>
    <mergeCell ref="C34:D35"/>
    <mergeCell ref="H30:J30"/>
    <mergeCell ref="C27:G27"/>
    <mergeCell ref="C58:D59"/>
    <mergeCell ref="E58:F59"/>
    <mergeCell ref="H26:J26"/>
    <mergeCell ref="E52:F53"/>
    <mergeCell ref="E48:F49"/>
    <mergeCell ref="H29:J29"/>
    <mergeCell ref="C42:D43"/>
    <mergeCell ref="E42:F43"/>
    <mergeCell ref="C32:G32"/>
    <mergeCell ref="C54:D55"/>
    <mergeCell ref="E60:F61"/>
    <mergeCell ref="C28:G28"/>
    <mergeCell ref="F2:J3"/>
    <mergeCell ref="H31:J31"/>
    <mergeCell ref="C50:D51"/>
    <mergeCell ref="C44:D45"/>
    <mergeCell ref="E44:F45"/>
    <mergeCell ref="C56:D57"/>
  </mergeCells>
  <dataValidations count="3">
    <dataValidation sqref="E34:E35" showDropDown="0" showInputMessage="1" showErrorMessage="1" allowBlank="1" type="list">
      <formula1>$AI$17:$AI$18</formula1>
    </dataValidation>
    <dataValidation sqref="E40:F41" showDropDown="0" showInputMessage="1" showErrorMessage="1" allowBlank="1" type="list">
      <formula1>$AK$17:$AK$21</formula1>
    </dataValidation>
    <dataValidation sqref="D11" showDropDown="0" showInputMessage="1" showErrorMessage="1" allowBlank="1" prompt="لطفا از بین سه منبع یکی را انتخاب کنید" type="list">
      <formula1>$AJ$9:$AJ$11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1">
    <tabColor theme="7" tint="0.3999755851924192"/>
    <outlinePr summaryBelow="1" summaryRight="1"/>
    <pageSetUpPr/>
  </sheetPr>
  <dimension ref="B2:S35"/>
  <sheetViews>
    <sheetView rightToLeft="1" workbookViewId="0">
      <selection activeCell="D1" sqref="D1"/>
    </sheetView>
  </sheetViews>
  <sheetFormatPr baseColWidth="8" defaultRowHeight="15"/>
  <sheetData>
    <row r="2" ht="41.25" customHeight="1" s="43" thickBot="1">
      <c r="B2" s="187" t="inlineStr">
        <is>
          <t xml:space="preserve">چك ليست كنترل اسناد استردادي اداره كل امورمالياتي </t>
        </is>
      </c>
      <c r="C2" s="379" t="n"/>
      <c r="D2" s="379" t="n"/>
      <c r="E2" s="379" t="n"/>
      <c r="F2" s="379" t="n"/>
      <c r="G2" s="379" t="n"/>
      <c r="H2" s="379" t="n"/>
      <c r="I2" s="379" t="n"/>
      <c r="J2" s="379" t="n"/>
      <c r="K2" s="379" t="n"/>
      <c r="L2" s="379" t="n"/>
      <c r="M2" s="379" t="n"/>
      <c r="N2" s="379" t="n"/>
      <c r="O2" s="379" t="n"/>
      <c r="P2" s="379" t="n"/>
      <c r="Q2" s="379" t="n"/>
      <c r="R2" s="379" t="n"/>
      <c r="S2" s="379" t="n"/>
    </row>
    <row r="3" ht="32.25" customHeight="1" s="43">
      <c r="B3" s="65" t="n"/>
      <c r="C3" s="66" t="inlineStr">
        <is>
          <t>رديف</t>
        </is>
      </c>
      <c r="D3" s="188" t="inlineStr">
        <is>
          <t>شرح</t>
        </is>
      </c>
      <c r="E3" s="380" t="n"/>
      <c r="F3" s="380" t="n"/>
      <c r="G3" s="380" t="n"/>
      <c r="H3" s="380" t="n"/>
      <c r="I3" s="380" t="n"/>
      <c r="J3" s="380" t="n"/>
      <c r="K3" s="380" t="n"/>
      <c r="L3" s="380" t="n"/>
      <c r="M3" s="380" t="n"/>
      <c r="N3" s="380" t="n"/>
      <c r="O3" s="380" t="n"/>
      <c r="P3" s="380" t="n"/>
      <c r="Q3" s="381" t="n"/>
      <c r="R3" s="67" t="inlineStr">
        <is>
          <t>رعايت</t>
        </is>
      </c>
      <c r="S3" s="68" t="inlineStr">
        <is>
          <t>عدم رعايت</t>
        </is>
      </c>
    </row>
    <row r="4">
      <c r="B4" s="382" t="n"/>
      <c r="C4" s="367" t="n"/>
      <c r="D4" s="367" t="n"/>
      <c r="E4" s="367" t="n"/>
      <c r="F4" s="367" t="n"/>
      <c r="G4" s="367" t="n"/>
      <c r="H4" s="367" t="n"/>
      <c r="I4" s="367" t="n"/>
      <c r="J4" s="367" t="n"/>
      <c r="K4" s="367" t="n"/>
      <c r="L4" s="367" t="n"/>
      <c r="M4" s="367" t="n"/>
      <c r="N4" s="367" t="n"/>
      <c r="O4" s="367" t="n"/>
      <c r="P4" s="367" t="n"/>
      <c r="Q4" s="367" t="n"/>
      <c r="R4" s="367" t="n"/>
      <c r="S4" s="383" t="n"/>
    </row>
    <row r="5" ht="22.5" customHeight="1" s="43">
      <c r="B5" s="193" t="inlineStr">
        <is>
          <t>نامه استرداد</t>
        </is>
      </c>
      <c r="C5" s="69" t="n">
        <v>1</v>
      </c>
      <c r="D5" s="384" t="inlineStr">
        <is>
          <t xml:space="preserve">            ثبت شماره دبير خانه وتاريخ مندرج در برگ استرداد درنامه مدير كل(نامه استرداد) </t>
        </is>
      </c>
      <c r="E5" s="367" t="n"/>
      <c r="F5" s="367" t="n"/>
      <c r="G5" s="367" t="n"/>
      <c r="H5" s="367" t="n"/>
      <c r="I5" s="367" t="n"/>
      <c r="J5" s="367" t="n"/>
      <c r="K5" s="367" t="n"/>
      <c r="L5" s="367" t="n"/>
      <c r="M5" s="367" t="n"/>
      <c r="N5" s="367" t="n"/>
      <c r="O5" s="367" t="n"/>
      <c r="P5" s="367" t="n"/>
      <c r="Q5" s="383" t="n"/>
      <c r="R5" s="70" t="n"/>
      <c r="S5" s="71" t="n"/>
    </row>
    <row r="6" ht="22.5" customHeight="1" s="43">
      <c r="B6" s="385" t="n"/>
      <c r="C6" s="69" t="n">
        <v>2</v>
      </c>
      <c r="D6" s="386" t="inlineStr">
        <is>
          <t>ثبت مبلغ بدهي مالياتي (( تكليفي موضوع ماده 104 ق.م.م ، حقوق ، ماليات و عوارض ارزش افزوده مودي در نامه مدير كل ودرج شماره حساب مربوطه))</t>
        </is>
      </c>
      <c r="E6" s="367" t="n"/>
      <c r="F6" s="367" t="n"/>
      <c r="G6" s="367" t="n"/>
      <c r="H6" s="367" t="n"/>
      <c r="I6" s="367" t="n"/>
      <c r="J6" s="367" t="n"/>
      <c r="K6" s="367" t="n"/>
      <c r="L6" s="367" t="n"/>
      <c r="M6" s="367" t="n"/>
      <c r="N6" s="367" t="n"/>
      <c r="O6" s="367" t="n"/>
      <c r="P6" s="367" t="n"/>
      <c r="Q6" s="387" t="n"/>
      <c r="R6" s="70" t="n"/>
      <c r="S6" s="71" t="n"/>
    </row>
    <row r="7">
      <c r="B7" s="388" t="n"/>
      <c r="C7" s="367" t="n"/>
      <c r="D7" s="367" t="n"/>
      <c r="E7" s="367" t="n"/>
      <c r="F7" s="367" t="n"/>
      <c r="G7" s="367" t="n"/>
      <c r="H7" s="367" t="n"/>
      <c r="I7" s="367" t="n"/>
      <c r="J7" s="367" t="n"/>
      <c r="K7" s="367" t="n"/>
      <c r="L7" s="367" t="n"/>
      <c r="M7" s="367" t="n"/>
      <c r="N7" s="367" t="n"/>
      <c r="O7" s="367" t="n"/>
      <c r="P7" s="367" t="n"/>
      <c r="Q7" s="367" t="n"/>
      <c r="R7" s="367" t="n"/>
      <c r="S7" s="383" t="n"/>
    </row>
    <row r="8" ht="22.5" customHeight="1" s="43">
      <c r="B8" s="193" t="inlineStr">
        <is>
          <t>برگ استرداد</t>
        </is>
      </c>
      <c r="C8" s="69" t="n">
        <v>3</v>
      </c>
      <c r="D8" s="203" t="inlineStr">
        <is>
          <t>درج منبع مالياتي درفرم استرداد مالياتي (باتوجه به منابع مندرج درقبوض مالياتي)</t>
        </is>
      </c>
      <c r="E8" s="367" t="n"/>
      <c r="F8" s="367" t="n"/>
      <c r="G8" s="367" t="n"/>
      <c r="H8" s="367" t="n"/>
      <c r="I8" s="367" t="n"/>
      <c r="J8" s="367" t="n"/>
      <c r="K8" s="367" t="n"/>
      <c r="L8" s="367" t="n"/>
      <c r="M8" s="367" t="n"/>
      <c r="N8" s="367" t="n"/>
      <c r="O8" s="367" t="n"/>
      <c r="P8" s="367" t="n"/>
      <c r="Q8" s="367" t="n"/>
      <c r="R8" s="70" t="n"/>
      <c r="S8" s="71" t="n"/>
    </row>
    <row r="9" ht="22.5" customHeight="1" s="43">
      <c r="B9" s="389" t="n"/>
      <c r="C9" s="69" t="n">
        <v>4</v>
      </c>
      <c r="D9" s="203" t="inlineStr">
        <is>
          <t>تعیین جمع ماليات پرداختي مودي دربرگ استرداد مالياتي(با توجه به فرم تسهيم وسهم هر شهرستان)</t>
        </is>
      </c>
      <c r="E9" s="367" t="n"/>
      <c r="F9" s="367" t="n"/>
      <c r="G9" s="367" t="n"/>
      <c r="H9" s="367" t="n"/>
      <c r="I9" s="367" t="n"/>
      <c r="J9" s="367" t="n"/>
      <c r="K9" s="367" t="n"/>
      <c r="L9" s="367" t="n"/>
      <c r="M9" s="367" t="n"/>
      <c r="N9" s="367" t="n"/>
      <c r="O9" s="367" t="n"/>
      <c r="P9" s="367" t="n"/>
      <c r="Q9" s="367" t="n"/>
      <c r="R9" s="70" t="n"/>
      <c r="S9" s="71" t="n"/>
    </row>
    <row r="10" ht="22.5" customHeight="1" s="43">
      <c r="B10" s="389" t="n"/>
      <c r="C10" s="69" t="n">
        <v>5</v>
      </c>
      <c r="D10" s="203" t="inlineStr">
        <is>
          <t>درج قبوض ماليات پرداختي مودي كه ريز آن در جدول ( الف ) مي باشد</t>
        </is>
      </c>
      <c r="E10" s="367" t="n"/>
      <c r="F10" s="367" t="n"/>
      <c r="G10" s="367" t="n"/>
      <c r="H10" s="367" t="n"/>
      <c r="I10" s="367" t="n"/>
      <c r="J10" s="367" t="n"/>
      <c r="K10" s="367" t="n"/>
      <c r="L10" s="367" t="n"/>
      <c r="M10" s="367" t="n"/>
      <c r="N10" s="367" t="n"/>
      <c r="O10" s="367" t="n"/>
      <c r="P10" s="367" t="n"/>
      <c r="Q10" s="367" t="n"/>
      <c r="R10" s="70" t="n"/>
      <c r="S10" s="71" t="n"/>
    </row>
    <row r="11" ht="22.5" customHeight="1" s="43">
      <c r="B11" s="389" t="n"/>
      <c r="C11" s="69" t="n"/>
      <c r="D11" s="203" t="inlineStr">
        <is>
          <t>ثبت شماره وتاريخ گزارش استرداد دربرگ استرداد</t>
        </is>
      </c>
      <c r="E11" s="367" t="n"/>
      <c r="F11" s="367" t="n"/>
      <c r="G11" s="367" t="n"/>
      <c r="H11" s="367" t="n"/>
      <c r="I11" s="367" t="n"/>
      <c r="J11" s="367" t="n"/>
      <c r="K11" s="367" t="n"/>
      <c r="L11" s="367" t="n"/>
      <c r="M11" s="367" t="n"/>
      <c r="N11" s="367" t="n"/>
      <c r="O11" s="367" t="n"/>
      <c r="P11" s="367" t="n"/>
      <c r="Q11" s="367" t="n"/>
      <c r="R11" s="70" t="n"/>
      <c r="S11" s="71" t="n"/>
    </row>
    <row r="12" ht="22.5" customHeight="1" s="43">
      <c r="B12" s="389" t="n"/>
      <c r="C12" s="69" t="n"/>
      <c r="D12" s="203" t="inlineStr">
        <is>
          <t>درج مبلغ به حروف دربرگ استرداد</t>
        </is>
      </c>
      <c r="E12" s="367" t="n"/>
      <c r="F12" s="367" t="n"/>
      <c r="G12" s="367" t="n"/>
      <c r="H12" s="367" t="n"/>
      <c r="I12" s="367" t="n"/>
      <c r="J12" s="367" t="n"/>
      <c r="K12" s="367" t="n"/>
      <c r="L12" s="367" t="n"/>
      <c r="M12" s="367" t="n"/>
      <c r="N12" s="367" t="n"/>
      <c r="O12" s="367" t="n"/>
      <c r="P12" s="367" t="n"/>
      <c r="Q12" s="367" t="n"/>
      <c r="R12" s="70" t="n"/>
      <c r="S12" s="71" t="n"/>
    </row>
    <row r="13" ht="22.5" customHeight="1" s="43">
      <c r="B13" s="389" t="n"/>
      <c r="C13" s="69" t="n">
        <v>6</v>
      </c>
      <c r="D13" s="205" t="inlineStr">
        <is>
          <t>عدم استفاده از لاك غلط گير و مخدوش بودن سند استرداد</t>
        </is>
      </c>
      <c r="E13" s="367" t="n"/>
      <c r="F13" s="367" t="n"/>
      <c r="G13" s="367" t="n"/>
      <c r="H13" s="367" t="n"/>
      <c r="I13" s="367" t="n"/>
      <c r="J13" s="367" t="n"/>
      <c r="K13" s="367" t="n"/>
      <c r="L13" s="367" t="n"/>
      <c r="M13" s="367" t="n"/>
      <c r="N13" s="367" t="n"/>
      <c r="O13" s="367" t="n"/>
      <c r="P13" s="367" t="n"/>
      <c r="Q13" s="367" t="n"/>
      <c r="R13" s="70" t="n"/>
      <c r="S13" s="71" t="n"/>
    </row>
    <row r="14" ht="22.5" customHeight="1" s="43">
      <c r="B14" s="389" t="n"/>
      <c r="C14" s="69" t="n">
        <v>7</v>
      </c>
      <c r="D14" s="203" t="inlineStr">
        <is>
          <t>درج جمع قبوض ماليات پرداختي مودي دربرگ استرداد مالياتي جدول( ب)</t>
        </is>
      </c>
      <c r="E14" s="367" t="n"/>
      <c r="F14" s="367" t="n"/>
      <c r="G14" s="367" t="n"/>
      <c r="H14" s="367" t="n"/>
      <c r="I14" s="367" t="n"/>
      <c r="J14" s="367" t="n"/>
      <c r="K14" s="367" t="n"/>
      <c r="L14" s="367" t="n"/>
      <c r="M14" s="367" t="n"/>
      <c r="N14" s="367" t="n"/>
      <c r="O14" s="367" t="n"/>
      <c r="P14" s="367" t="n"/>
      <c r="Q14" s="367" t="n"/>
      <c r="R14" s="70" t="n"/>
      <c r="S14" s="71" t="n"/>
    </row>
    <row r="15" ht="22.5" customHeight="1" s="43">
      <c r="B15" s="385" t="n"/>
      <c r="C15" s="69" t="n">
        <v>8</v>
      </c>
      <c r="D15" s="203" t="inlineStr">
        <is>
          <t>مشخص كردن قبوض مالياتي كه جهت استرداد باطل مي گردد درجدول ( الف )</t>
        </is>
      </c>
      <c r="E15" s="367" t="n"/>
      <c r="F15" s="367" t="n"/>
      <c r="G15" s="367" t="n"/>
      <c r="H15" s="367" t="n"/>
      <c r="I15" s="367" t="n"/>
      <c r="J15" s="367" t="n"/>
      <c r="K15" s="367" t="n"/>
      <c r="L15" s="367" t="n"/>
      <c r="M15" s="367" t="n"/>
      <c r="N15" s="367" t="n"/>
      <c r="O15" s="367" t="n"/>
      <c r="P15" s="367" t="n"/>
      <c r="Q15" s="367" t="n"/>
      <c r="R15" s="70" t="n"/>
      <c r="S15" s="71" t="n"/>
    </row>
    <row r="16">
      <c r="B16" s="388" t="n"/>
      <c r="C16" s="367" t="n"/>
      <c r="D16" s="367" t="n"/>
      <c r="E16" s="367" t="n"/>
      <c r="F16" s="367" t="n"/>
      <c r="G16" s="367" t="n"/>
      <c r="H16" s="367" t="n"/>
      <c r="I16" s="367" t="n"/>
      <c r="J16" s="367" t="n"/>
      <c r="K16" s="367" t="n"/>
      <c r="L16" s="367" t="n"/>
      <c r="M16" s="367" t="n"/>
      <c r="N16" s="367" t="n"/>
      <c r="O16" s="367" t="n"/>
      <c r="P16" s="367" t="n"/>
      <c r="Q16" s="367" t="n"/>
      <c r="R16" s="367" t="n"/>
      <c r="S16" s="383" t="n"/>
    </row>
    <row r="17" ht="22.5" customHeight="1" s="43">
      <c r="B17" s="193" t="inlineStr">
        <is>
          <t>گزارش استرداد</t>
        </is>
      </c>
      <c r="C17" s="69" t="n">
        <v>9</v>
      </c>
      <c r="D17" s="207" t="inlineStr">
        <is>
          <t>تعیین وضعيت بدهي مودي مالياتي درقسمت مربوط به اداره وصول واجرادرفرم گزارش استرداد</t>
        </is>
      </c>
      <c r="E17" s="367" t="n"/>
      <c r="F17" s="367" t="n"/>
      <c r="G17" s="367" t="n"/>
      <c r="H17" s="367" t="n"/>
      <c r="I17" s="367" t="n"/>
      <c r="J17" s="367" t="n"/>
      <c r="K17" s="367" t="n"/>
      <c r="L17" s="367" t="n"/>
      <c r="M17" s="367" t="n"/>
      <c r="N17" s="367" t="n"/>
      <c r="O17" s="367" t="n"/>
      <c r="P17" s="367" t="n"/>
      <c r="Q17" s="367" t="n"/>
      <c r="R17" s="70" t="n"/>
      <c r="S17" s="71" t="n"/>
    </row>
    <row r="18" ht="22.5" customHeight="1" s="43">
      <c r="B18" s="389" t="n"/>
      <c r="C18" s="69" t="inlineStr">
        <is>
          <t>الف )</t>
        </is>
      </c>
      <c r="D18" s="203" t="inlineStr">
        <is>
          <t>مهر وامضاء نمودن  توسط کارشناس ارشد مربوطه اداره وصول واجرا</t>
        </is>
      </c>
      <c r="E18" s="367" t="n"/>
      <c r="F18" s="367" t="n"/>
      <c r="G18" s="367" t="n"/>
      <c r="H18" s="367" t="n"/>
      <c r="I18" s="367" t="n"/>
      <c r="J18" s="367" t="n"/>
      <c r="K18" s="367" t="n"/>
      <c r="L18" s="367" t="n"/>
      <c r="M18" s="367" t="n"/>
      <c r="N18" s="367" t="n"/>
      <c r="O18" s="367" t="n"/>
      <c r="P18" s="367" t="n"/>
      <c r="Q18" s="367" t="n"/>
      <c r="R18" s="70" t="n"/>
      <c r="S18" s="71" t="n"/>
    </row>
    <row r="19" ht="22.5" customHeight="1" s="43">
      <c r="B19" s="389" t="n"/>
      <c r="C19" s="72" t="inlineStr">
        <is>
          <t>ب )</t>
        </is>
      </c>
      <c r="D19" s="203" t="inlineStr">
        <is>
          <t>درصورت تائيد توسط كارشناس ارشدمالياتي به شيوه زير اقدام فرمايند:</t>
        </is>
      </c>
      <c r="E19" s="367" t="n"/>
      <c r="F19" s="367" t="n"/>
      <c r="G19" s="367" t="n"/>
      <c r="H19" s="367" t="n"/>
      <c r="I19" s="367" t="n"/>
      <c r="J19" s="367" t="n"/>
      <c r="K19" s="367" t="n"/>
      <c r="L19" s="367" t="n"/>
      <c r="M19" s="367" t="n"/>
      <c r="N19" s="367" t="n"/>
      <c r="O19" s="367" t="n"/>
      <c r="P19" s="367" t="n"/>
      <c r="Q19" s="367" t="n"/>
      <c r="R19" s="70" t="n"/>
      <c r="S19" s="71" t="n"/>
    </row>
    <row r="20" ht="39" customHeight="1" s="43">
      <c r="B20" s="389" t="n"/>
      <c r="C20" s="73" t="inlineStr">
        <is>
          <t>(ب-1 )</t>
        </is>
      </c>
      <c r="D20" s="208" t="inlineStr">
        <is>
          <t xml:space="preserve">    دريافت گواهي وضعيت مودي مالياتي ازسيستم اتوماسيون وصول واجرا كه درآن مشخصات مودي مالياتي ثبت گرديده وتائيد آن توسط كارشناس ارشد مالياتي مربوطه</t>
        </is>
      </c>
      <c r="E20" s="367" t="n"/>
      <c r="F20" s="367" t="n"/>
      <c r="G20" s="367" t="n"/>
      <c r="H20" s="367" t="n"/>
      <c r="I20" s="367" t="n"/>
      <c r="J20" s="367" t="n"/>
      <c r="K20" s="367" t="n"/>
      <c r="L20" s="367" t="n"/>
      <c r="M20" s="367" t="n"/>
      <c r="N20" s="367" t="n"/>
      <c r="O20" s="367" t="n"/>
      <c r="P20" s="367" t="n"/>
      <c r="Q20" s="367" t="n"/>
      <c r="R20" s="70" t="n"/>
      <c r="S20" s="71" t="n"/>
    </row>
    <row r="21" ht="40.5" customHeight="1" s="43">
      <c r="B21" s="389" t="n"/>
      <c r="C21" s="73" t="inlineStr">
        <is>
          <t>(ب -2)</t>
        </is>
      </c>
      <c r="D21" s="208" t="inlineStr">
        <is>
          <t xml:space="preserve">   درج جمله: (گواهي اتوماسيون اداره وصول واجرا ضميمه مي باشد ) در فرم گزارش استرداد درقسمت وصول واجرا وتائيد آن توسط كارشناس ارشدمالياتي مربوطه</t>
        </is>
      </c>
      <c r="E21" s="367" t="n"/>
      <c r="F21" s="367" t="n"/>
      <c r="G21" s="367" t="n"/>
      <c r="H21" s="367" t="n"/>
      <c r="I21" s="367" t="n"/>
      <c r="J21" s="367" t="n"/>
      <c r="K21" s="367" t="n"/>
      <c r="L21" s="367" t="n"/>
      <c r="M21" s="367" t="n"/>
      <c r="N21" s="367" t="n"/>
      <c r="O21" s="367" t="n"/>
      <c r="P21" s="367" t="n"/>
      <c r="Q21" s="367" t="n"/>
      <c r="R21" s="70" t="n"/>
      <c r="S21" s="71" t="n"/>
    </row>
    <row r="22" ht="22.5" customHeight="1" s="43">
      <c r="B22" s="389" t="n"/>
      <c r="C22" s="69" t="n">
        <v>10</v>
      </c>
      <c r="D22" s="209" t="inlineStr">
        <is>
          <t xml:space="preserve">درج سال عملكرد تحت رسيدگي دركليه قسمتهاي فرم گزارش استرداد </t>
        </is>
      </c>
      <c r="E22" s="367" t="n"/>
      <c r="F22" s="367" t="n"/>
      <c r="G22" s="367" t="n"/>
      <c r="H22" s="367" t="n"/>
      <c r="I22" s="367" t="n"/>
      <c r="J22" s="367" t="n"/>
      <c r="K22" s="367" t="n"/>
      <c r="L22" s="367" t="n"/>
      <c r="M22" s="367" t="n"/>
      <c r="N22" s="367" t="n"/>
      <c r="O22" s="367" t="n"/>
      <c r="P22" s="367" t="n"/>
      <c r="Q22" s="367" t="n"/>
      <c r="R22" s="70" t="n"/>
      <c r="S22" s="71" t="n"/>
    </row>
    <row r="23" ht="22.5" customHeight="1" s="43">
      <c r="B23" s="385" t="n"/>
      <c r="C23" s="69" t="n">
        <v>11</v>
      </c>
      <c r="D23" s="386" t="inlineStr">
        <is>
          <t>تفكيك بدهي ماليات وعوارض ارزش افزوده ((مشخص بودن ميزان كسر هر آيتم از مبلغ استردادي درصورت  داشتن بدهي مودي))</t>
        </is>
      </c>
      <c r="E23" s="367" t="n"/>
      <c r="F23" s="367" t="n"/>
      <c r="G23" s="367" t="n"/>
      <c r="H23" s="367" t="n"/>
      <c r="I23" s="367" t="n"/>
      <c r="J23" s="367" t="n"/>
      <c r="K23" s="367" t="n"/>
      <c r="L23" s="367" t="n"/>
      <c r="M23" s="367" t="n"/>
      <c r="N23" s="367" t="n"/>
      <c r="O23" s="367" t="n"/>
      <c r="P23" s="367" t="n"/>
      <c r="Q23" s="387" t="n"/>
      <c r="R23" s="70" t="n"/>
      <c r="S23" s="71" t="n"/>
    </row>
    <row r="24">
      <c r="B24" s="388" t="n"/>
      <c r="C24" s="367" t="n"/>
      <c r="D24" s="367" t="n"/>
      <c r="E24" s="367" t="n"/>
      <c r="F24" s="367" t="n"/>
      <c r="G24" s="367" t="n"/>
      <c r="H24" s="367" t="n"/>
      <c r="I24" s="367" t="n"/>
      <c r="J24" s="367" t="n"/>
      <c r="K24" s="367" t="n"/>
      <c r="L24" s="367" t="n"/>
      <c r="M24" s="367" t="n"/>
      <c r="N24" s="367" t="n"/>
      <c r="O24" s="367" t="n"/>
      <c r="P24" s="367" t="n"/>
      <c r="Q24" s="367" t="n"/>
      <c r="R24" s="367" t="n"/>
      <c r="S24" s="383" t="n"/>
    </row>
    <row r="25" ht="22.5" customHeight="1" s="43">
      <c r="B25" s="193" t="inlineStr">
        <is>
          <t>ضمائم</t>
        </is>
      </c>
      <c r="C25" s="69" t="n">
        <v>12</v>
      </c>
      <c r="D25" s="203" t="inlineStr">
        <is>
          <t>ضميمه بودن اصل قبوض ماليات پرداختي در حد مورد نياز جهت استرداد</t>
        </is>
      </c>
      <c r="E25" s="367" t="n"/>
      <c r="F25" s="367" t="n"/>
      <c r="G25" s="367" t="n"/>
      <c r="H25" s="367" t="n"/>
      <c r="I25" s="367" t="n"/>
      <c r="J25" s="367" t="n"/>
      <c r="K25" s="367" t="n"/>
      <c r="L25" s="367" t="n"/>
      <c r="M25" s="367" t="n"/>
      <c r="N25" s="367" t="n"/>
      <c r="O25" s="367" t="n"/>
      <c r="P25" s="367" t="n"/>
      <c r="Q25" s="367" t="n"/>
      <c r="R25" s="70" t="n"/>
      <c r="S25" s="71" t="n"/>
    </row>
    <row r="26" ht="22.5" customHeight="1" s="43">
      <c r="B26" s="389" t="n"/>
      <c r="C26" s="72" t="inlineStr">
        <is>
          <t>12-1</t>
        </is>
      </c>
      <c r="D26" s="203" t="inlineStr">
        <is>
          <t>درصورت مفقود ي قبوض ماليات :</t>
        </is>
      </c>
      <c r="E26" s="367" t="n"/>
      <c r="F26" s="367" t="n"/>
      <c r="G26" s="367" t="n"/>
      <c r="H26" s="367" t="n"/>
      <c r="I26" s="367" t="n"/>
      <c r="J26" s="367" t="n"/>
      <c r="K26" s="367" t="n"/>
      <c r="L26" s="367" t="n"/>
      <c r="M26" s="367" t="n"/>
      <c r="N26" s="367" t="n"/>
      <c r="O26" s="367" t="n"/>
      <c r="P26" s="367" t="n"/>
      <c r="Q26" s="367" t="n"/>
      <c r="R26" s="70" t="n"/>
      <c r="S26" s="71" t="n"/>
    </row>
    <row r="27" ht="22.5" customHeight="1" s="43">
      <c r="B27" s="389" t="n"/>
      <c r="C27" s="69" t="inlineStr">
        <is>
          <t>الف)</t>
        </is>
      </c>
      <c r="D27" s="203" t="inlineStr">
        <is>
          <t>تعهد نامه ازمسئولين مالياتي در صورت مفقودي نسخه پرونده مالياتي</t>
        </is>
      </c>
      <c r="E27" s="367" t="n"/>
      <c r="F27" s="367" t="n"/>
      <c r="G27" s="367" t="n"/>
      <c r="H27" s="367" t="n"/>
      <c r="I27" s="367" t="n"/>
      <c r="J27" s="367" t="n"/>
      <c r="K27" s="367" t="n"/>
      <c r="L27" s="367" t="n"/>
      <c r="M27" s="367" t="n"/>
      <c r="N27" s="367" t="n"/>
      <c r="O27" s="367" t="n"/>
      <c r="P27" s="367" t="n"/>
      <c r="Q27" s="367" t="n"/>
      <c r="R27" s="70" t="n"/>
      <c r="S27" s="71" t="n"/>
    </row>
    <row r="28" ht="22.5" customHeight="1" s="43">
      <c r="B28" s="389" t="n"/>
      <c r="C28" s="69" t="inlineStr">
        <is>
          <t>ب)</t>
        </is>
      </c>
      <c r="D28" s="203" t="inlineStr">
        <is>
          <t>اقرار نامه ثبتي از مودي مالياتي درصورت مفقودي نسخه مودي مالياتي</t>
        </is>
      </c>
      <c r="E28" s="367" t="n"/>
      <c r="F28" s="367" t="n"/>
      <c r="G28" s="367" t="n"/>
      <c r="H28" s="367" t="n"/>
      <c r="I28" s="367" t="n"/>
      <c r="J28" s="367" t="n"/>
      <c r="K28" s="367" t="n"/>
      <c r="L28" s="367" t="n"/>
      <c r="M28" s="367" t="n"/>
      <c r="N28" s="367" t="n"/>
      <c r="O28" s="367" t="n"/>
      <c r="P28" s="367" t="n"/>
      <c r="Q28" s="367" t="n"/>
      <c r="R28" s="70" t="n"/>
      <c r="S28" s="71" t="n"/>
    </row>
    <row r="29" ht="22.5" customHeight="1" s="43">
      <c r="B29" s="385" t="n"/>
      <c r="C29" s="69" t="n">
        <v>12</v>
      </c>
      <c r="D29" s="390" t="inlineStr">
        <is>
          <t xml:space="preserve"> نامه درخواست استرداد ، اعلام شماره حساب بانكي افراد حقيقي وحقوقي (بامهر شركت) ، معرفي نماينده وهمچنين درصورت تهاترساير بدهي هابا مبلغ استرداد از مودي ضميمه گردد</t>
        </is>
      </c>
      <c r="E29" s="367" t="n"/>
      <c r="F29" s="367" t="n"/>
      <c r="G29" s="367" t="n"/>
      <c r="H29" s="367" t="n"/>
      <c r="I29" s="367" t="n"/>
      <c r="J29" s="367" t="n"/>
      <c r="K29" s="367" t="n"/>
      <c r="L29" s="367" t="n"/>
      <c r="M29" s="367" t="n"/>
      <c r="N29" s="367" t="n"/>
      <c r="O29" s="367" t="n"/>
      <c r="P29" s="367" t="n"/>
      <c r="Q29" s="383" t="n"/>
      <c r="R29" s="70" t="n"/>
      <c r="S29" s="71" t="n"/>
    </row>
    <row r="32" ht="22.5" customHeight="1" s="43">
      <c r="E32" s="233">
        <f>" رئیس گروه مالیاتی شهرستان "&amp;data!D8&amp;CHAR(10)&amp;data!D13</f>
        <v/>
      </c>
      <c r="I32" s="48" t="n"/>
      <c r="J32" s="48" t="n"/>
      <c r="K32" s="48" t="n"/>
      <c r="L32" s="48" t="n"/>
      <c r="M32" s="48" t="n"/>
      <c r="N32" s="233">
        <f>" رئیس امور مالیاتی شهرستان "&amp;data!D8&amp;CHAR(10)&amp;data!D12</f>
        <v/>
      </c>
    </row>
    <row r="33" ht="22.5" customHeight="1" s="43">
      <c r="I33" s="48" t="n"/>
      <c r="J33" s="48" t="n"/>
      <c r="K33" s="48" t="n"/>
      <c r="L33" s="48" t="n"/>
      <c r="M33" s="48" t="n"/>
    </row>
    <row r="34" ht="22.5" customHeight="1" s="43">
      <c r="I34" s="48" t="n"/>
      <c r="J34" s="48" t="n"/>
      <c r="K34" s="48" t="n"/>
      <c r="L34" s="48" t="n"/>
      <c r="M34" s="48" t="n"/>
    </row>
    <row r="35" ht="22.5" customHeight="1" s="43">
      <c r="I35" s="48" t="n"/>
      <c r="J35" s="48" t="n"/>
      <c r="K35" s="48" t="n"/>
      <c r="L35" s="48" t="n"/>
      <c r="M35" s="48" t="n"/>
    </row>
  </sheetData>
  <mergeCells count="34">
    <mergeCell ref="N32:Q35"/>
    <mergeCell ref="D26:Q26"/>
    <mergeCell ref="B2:S2"/>
    <mergeCell ref="D20:Q20"/>
    <mergeCell ref="D10:Q10"/>
    <mergeCell ref="D19:Q19"/>
    <mergeCell ref="D22:Q22"/>
    <mergeCell ref="D21:Q21"/>
    <mergeCell ref="D6:Q6"/>
    <mergeCell ref="B8:B15"/>
    <mergeCell ref="D11:Q11"/>
    <mergeCell ref="D27:Q27"/>
    <mergeCell ref="D13:Q13"/>
    <mergeCell ref="D17:Q17"/>
    <mergeCell ref="B24:S24"/>
    <mergeCell ref="B25:B29"/>
    <mergeCell ref="B4:S4"/>
    <mergeCell ref="D28:Q28"/>
    <mergeCell ref="E32:H35"/>
    <mergeCell ref="B5:B6"/>
    <mergeCell ref="D18:Q18"/>
    <mergeCell ref="D3:Q3"/>
    <mergeCell ref="D9:Q9"/>
    <mergeCell ref="B7:S7"/>
    <mergeCell ref="D12:Q12"/>
    <mergeCell ref="D25:Q25"/>
    <mergeCell ref="B16:S16"/>
    <mergeCell ref="D8:Q8"/>
    <mergeCell ref="B17:B23"/>
    <mergeCell ref="D15:Q15"/>
    <mergeCell ref="D29:Q29"/>
    <mergeCell ref="D5:Q5"/>
    <mergeCell ref="D23:Q23"/>
    <mergeCell ref="D14:Q14"/>
  </mergeCells>
  <printOptions horizontalCentered="1"/>
  <pageMargins left="0" right="0" top="0" bottom="0" header="0.5118110236220472" footer="0.3937007874015748"/>
  <pageSetup orientation="portrait" paperSize="9" scale="55"/>
</worksheet>
</file>

<file path=xl/worksheets/sheet3.xml><?xml version="1.0" encoding="utf-8"?>
<worksheet xmlns="http://schemas.openxmlformats.org/spreadsheetml/2006/main">
  <sheetPr codeName="Sheet3">
    <tabColor theme="5"/>
    <outlinePr summaryBelow="1" summaryRight="1"/>
    <pageSetUpPr/>
  </sheetPr>
  <dimension ref="D2:P37"/>
  <sheetViews>
    <sheetView rightToLeft="1" topLeftCell="A10" workbookViewId="0">
      <selection activeCell="H2" sqref="H2:J3"/>
    </sheetView>
  </sheetViews>
  <sheetFormatPr baseColWidth="8" defaultRowHeight="15"/>
  <cols>
    <col width="8.375" customWidth="1" style="43" min="3" max="3"/>
    <col width="11.125" bestFit="1" customWidth="1" style="43" min="13" max="13"/>
  </cols>
  <sheetData>
    <row r="2" ht="22.5" customHeight="1" s="43">
      <c r="E2" s="318" t="inlineStr">
        <is>
          <t>جمهوری اسلامی ایران</t>
        </is>
      </c>
      <c r="H2" s="226" t="inlineStr">
        <is>
          <t>نامه ذیحسابی</t>
        </is>
      </c>
      <c r="K2" s="48" t="n"/>
      <c r="L2" s="48" t="inlineStr">
        <is>
          <t>شماره</t>
        </is>
      </c>
      <c r="M2" s="48">
        <f>data!M8</f>
        <v/>
      </c>
    </row>
    <row r="3" ht="22.5" customHeight="1" s="43">
      <c r="E3" s="224" t="inlineStr">
        <is>
          <t>وزارت امور اقتصادی و دارایی</t>
        </is>
      </c>
      <c r="K3" s="48" t="n"/>
      <c r="L3" s="48" t="inlineStr">
        <is>
          <t>تاریخ</t>
        </is>
      </c>
      <c r="M3" s="48">
        <f>data!N8</f>
        <v/>
      </c>
    </row>
    <row r="4" ht="22.5" customHeight="1" s="43">
      <c r="E4" s="224" t="inlineStr">
        <is>
          <t>سازمان امور مالیاتی کشور</t>
        </is>
      </c>
      <c r="F4" s="224" t="n"/>
      <c r="G4" s="224" t="n"/>
      <c r="H4" s="48" t="n"/>
      <c r="I4" s="48" t="n"/>
      <c r="J4" s="48" t="n"/>
      <c r="K4" s="48" t="n"/>
      <c r="L4" s="48" t="n"/>
      <c r="M4" s="48" t="n"/>
    </row>
    <row r="5">
      <c r="D5" s="328" t="n"/>
    </row>
    <row r="6"/>
    <row r="7"/>
    <row r="8">
      <c r="D8" s="391">
        <f>CHAR(10)&amp;CHAR(10)&amp;"   احتراما به پیوست یک فقره پرونده استرداد شماره "&amp;data!M5&amp;" مورخ "&amp;data!N5&amp;" مربوط  به "&amp;data!D4&amp;" با شماره اقتصادی"&amp;data!D5&amp;" به مبلغ "&amp;TEXT(data!H32,"#,##0")&amp;" ریال مربوط به مالیات  "&amp;data!D11&amp;" سال "&amp;data!D9&amp;" ارسال می گردد. مقتضی است دستور فرمایید ضمن بررسی و وفق مقررات نسبت به استرداد وجه فوق الذکر اقدام و کل مبلغ "&amp; TEXT(data!H32,"#,##0")&amp; " ریال طبق درخواست کتبی به حساب نامبرده به شماره شبا"&amp;data!D16&amp;" نزد بانک "&amp; data!D15&amp;" پرداخت گردد"</f>
        <v/>
      </c>
      <c r="E8" s="46" t="n"/>
      <c r="F8" s="46" t="n"/>
      <c r="G8" s="46" t="n"/>
      <c r="H8" s="46" t="n"/>
      <c r="I8" s="46" t="n"/>
      <c r="J8" s="46" t="n"/>
      <c r="K8" s="46" t="n"/>
      <c r="L8" s="46" t="n"/>
      <c r="M8" s="59" t="n"/>
      <c r="P8" s="74" t="n"/>
    </row>
    <row r="9">
      <c r="D9" s="62" t="n"/>
      <c r="M9" s="64" t="n"/>
    </row>
    <row r="10">
      <c r="D10" s="62" t="n"/>
      <c r="M10" s="64" t="n"/>
    </row>
    <row r="11">
      <c r="D11" s="62" t="n"/>
      <c r="M11" s="64" t="n"/>
    </row>
    <row r="12">
      <c r="D12" s="62" t="n"/>
      <c r="M12" s="64" t="n"/>
    </row>
    <row r="13">
      <c r="D13" s="62" t="n"/>
      <c r="M13" s="64" t="n"/>
    </row>
    <row r="14">
      <c r="D14" s="62" t="n"/>
      <c r="M14" s="64" t="n"/>
    </row>
    <row r="15">
      <c r="D15" s="62" t="n"/>
      <c r="M15" s="64" t="n"/>
    </row>
    <row r="16">
      <c r="D16" s="62" t="n"/>
      <c r="M16" s="64" t="n"/>
    </row>
    <row r="17">
      <c r="D17" s="62" t="n"/>
      <c r="M17" s="64" t="n"/>
    </row>
    <row r="18">
      <c r="D18" s="62" t="n"/>
      <c r="M18" s="64" t="n"/>
    </row>
    <row r="19">
      <c r="D19" s="62" t="n"/>
      <c r="M19" s="64" t="n"/>
    </row>
    <row r="20">
      <c r="D20" s="62" t="n"/>
      <c r="M20" s="64" t="n"/>
    </row>
    <row r="21">
      <c r="D21" s="62" t="n"/>
      <c r="M21" s="64" t="n"/>
    </row>
    <row r="22">
      <c r="D22" s="62" t="n"/>
      <c r="M22" s="64" t="n"/>
    </row>
    <row r="23">
      <c r="D23" s="62" t="n"/>
      <c r="M23" s="64" t="n"/>
    </row>
    <row r="24">
      <c r="D24" s="62" t="n"/>
      <c r="M24" s="64" t="n"/>
    </row>
    <row r="25">
      <c r="D25" s="62" t="n"/>
      <c r="M25" s="64" t="n"/>
    </row>
    <row r="26">
      <c r="D26" s="62" t="n"/>
      <c r="M26" s="64" t="n"/>
    </row>
    <row r="27">
      <c r="D27" s="62" t="n"/>
      <c r="M27" s="64" t="n"/>
    </row>
    <row r="28">
      <c r="D28" s="62" t="n"/>
      <c r="M28" s="64" t="n"/>
    </row>
    <row r="29">
      <c r="D29" s="62" t="n"/>
      <c r="M29" s="64" t="n"/>
    </row>
    <row r="30">
      <c r="D30" s="62" t="n"/>
      <c r="M30" s="64" t="n"/>
    </row>
    <row r="31">
      <c r="D31" s="62" t="n"/>
      <c r="M31" s="64" t="n"/>
    </row>
    <row r="32">
      <c r="D32" s="62" t="n"/>
      <c r="M32" s="64" t="n"/>
    </row>
    <row r="33">
      <c r="D33" s="62" t="n"/>
      <c r="M33" s="64" t="n"/>
    </row>
    <row r="34">
      <c r="D34" s="62" t="n"/>
      <c r="M34" s="64" t="n"/>
    </row>
    <row r="35">
      <c r="D35" s="62" t="n"/>
      <c r="M35" s="64" t="n"/>
    </row>
    <row r="36">
      <c r="D36" s="62" t="n"/>
      <c r="M36" s="64" t="n"/>
    </row>
    <row r="37">
      <c r="D37" s="47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31" t="n"/>
    </row>
  </sheetData>
  <mergeCells count="5">
    <mergeCell ref="E2:G2"/>
    <mergeCell ref="H2:J3"/>
    <mergeCell ref="D8:M37"/>
    <mergeCell ref="D5:M7"/>
    <mergeCell ref="E3:G3"/>
  </mergeCells>
  <printOptions horizontalCentered="1"/>
  <pageMargins left="0" right="0" top="0.7480314960629921" bottom="0.7480314960629921" header="0.3149606299212598" footer="0.3149606299212598"/>
  <pageSetup orientation="portrait" paperSize="9" scale="8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4">
    <tabColor rgb="FFFF0000"/>
    <outlinePr summaryBelow="1" summaryRight="1"/>
    <pageSetUpPr/>
  </sheetPr>
  <dimension ref="D3:M60"/>
  <sheetViews>
    <sheetView rightToLeft="1" topLeftCell="A16" workbookViewId="0">
      <selection activeCell="D5" sqref="D5:M40"/>
    </sheetView>
  </sheetViews>
  <sheetFormatPr baseColWidth="8" defaultRowHeight="15"/>
  <sheetData>
    <row r="3">
      <c r="D3" s="392" t="inlineStr">
        <is>
          <t>استعلام از حوزه های مختلف</t>
        </is>
      </c>
      <c r="E3" s="46" t="n"/>
      <c r="F3" s="46" t="n"/>
      <c r="G3" s="46" t="n"/>
      <c r="H3" s="46" t="n"/>
      <c r="I3" s="46" t="n"/>
      <c r="J3" s="46" t="n"/>
      <c r="K3" s="46" t="n"/>
      <c r="L3" s="46" t="n"/>
      <c r="M3" s="59" t="n"/>
    </row>
    <row r="4">
      <c r="D4" s="47" t="n"/>
      <c r="E4" s="44" t="n"/>
      <c r="F4" s="44" t="n"/>
      <c r="G4" s="44" t="n"/>
      <c r="H4" s="44" t="n"/>
      <c r="I4" s="44" t="n"/>
      <c r="J4" s="44" t="n"/>
      <c r="K4" s="44" t="n"/>
      <c r="L4" s="44" t="n"/>
      <c r="M4" s="31" t="n"/>
    </row>
    <row r="5" ht="14.25" customHeight="1" s="43">
      <c r="D5" s="393">
        <f>CHAR(10)&amp;CHAR(10)&amp;" به: کلیه واحد های اداره امور مالیاتی شهرستان "&amp;data!D8&amp;CHAR(10)&amp;CHAR(10)&amp;CHAR(10)&amp;" با سلام"&amp;CHAR(10)&amp;" احتراما، نظر به اینکه مودی "&amp;data!D4&amp;" با کد اقتصادی "&amp;data!D5&amp;" به نشانی "&amp;data!D17&amp;" در واحد مالیاتی "&amp;data!D6&amp;" درخواست استرداد نموده است، از این رو خواهشمند است ضمن بررسی سوابق نامبرده در آن حوزه مالیاتی مراتب بدهی و یا عدم بدهکاری مشارالیه را جهت اقدامات بعدی در ذیل همین نامه به این واحد مالیاتی اعلام فرمایید."&amp;CHAR(10)&amp;CHAR(10)&amp;" 1- واحد ارث:"&amp;CHAR(10)&amp;CHAR(10)&amp;CHAR(10)&amp;" 2- واحد وصول و اجرا:"&amp;CHAR(10)&amp;CHAR(10)&amp;CHAR(10)&amp;" 3- واحد شرکت ها و حقوق"&amp;CHAR(10)&amp;CHAR(10)&amp;CHAR(10)&amp;" 4- واحد مشاغل:"&amp;CHAR(10)&amp;CHAR(10)&amp;CHAR(10)&amp;" 5- واحد ارزش افزوده:"</f>
        <v/>
      </c>
      <c r="E5" s="46" t="n"/>
      <c r="F5" s="46" t="n"/>
      <c r="G5" s="46" t="n"/>
      <c r="H5" s="46" t="n"/>
      <c r="I5" s="46" t="n"/>
      <c r="J5" s="46" t="n"/>
      <c r="K5" s="46" t="n"/>
      <c r="L5" s="46" t="n"/>
      <c r="M5" s="59" t="n"/>
    </row>
    <row r="6" ht="14.25" customHeight="1" s="43">
      <c r="D6" s="62" t="n"/>
      <c r="M6" s="64" t="n"/>
    </row>
    <row r="7" ht="14.25" customHeight="1" s="43">
      <c r="D7" s="62" t="n"/>
      <c r="M7" s="64" t="n"/>
    </row>
    <row r="8" ht="14.25" customHeight="1" s="43">
      <c r="D8" s="62" t="n"/>
      <c r="M8" s="64" t="n"/>
    </row>
    <row r="9" ht="14.25" customHeight="1" s="43">
      <c r="D9" s="62" t="n"/>
      <c r="M9" s="64" t="n"/>
    </row>
    <row r="10" ht="14.25" customHeight="1" s="43">
      <c r="D10" s="62" t="n"/>
      <c r="M10" s="64" t="n"/>
    </row>
    <row r="11" ht="14.25" customHeight="1" s="43">
      <c r="D11" s="62" t="n"/>
      <c r="M11" s="64" t="n"/>
    </row>
    <row r="12" ht="14.25" customHeight="1" s="43">
      <c r="D12" s="62" t="n"/>
      <c r="M12" s="64" t="n"/>
    </row>
    <row r="13" ht="14.25" customHeight="1" s="43">
      <c r="D13" s="62" t="n"/>
      <c r="M13" s="64" t="n"/>
    </row>
    <row r="14" ht="14.25" customHeight="1" s="43">
      <c r="D14" s="62" t="n"/>
      <c r="M14" s="64" t="n"/>
    </row>
    <row r="15" ht="14.25" customHeight="1" s="43">
      <c r="D15" s="62" t="n"/>
      <c r="M15" s="64" t="n"/>
    </row>
    <row r="16" ht="14.25" customHeight="1" s="43">
      <c r="D16" s="62" t="n"/>
      <c r="M16" s="64" t="n"/>
    </row>
    <row r="17" ht="14.25" customHeight="1" s="43">
      <c r="D17" s="62" t="n"/>
      <c r="M17" s="64" t="n"/>
    </row>
    <row r="18" ht="14.25" customHeight="1" s="43">
      <c r="D18" s="62" t="n"/>
      <c r="M18" s="64" t="n"/>
    </row>
    <row r="19" ht="14.25" customHeight="1" s="43">
      <c r="D19" s="62" t="n"/>
      <c r="M19" s="64" t="n"/>
    </row>
    <row r="20" ht="14.25" customHeight="1" s="43">
      <c r="D20" s="62" t="n"/>
      <c r="M20" s="64" t="n"/>
    </row>
    <row r="21" ht="14.25" customHeight="1" s="43">
      <c r="D21" s="62" t="n"/>
      <c r="M21" s="64" t="n"/>
    </row>
    <row r="22" ht="14.25" customHeight="1" s="43">
      <c r="D22" s="62" t="n"/>
      <c r="M22" s="64" t="n"/>
    </row>
    <row r="23" ht="14.25" customHeight="1" s="43">
      <c r="D23" s="62" t="n"/>
      <c r="M23" s="64" t="n"/>
    </row>
    <row r="24" ht="14.25" customHeight="1" s="43">
      <c r="D24" s="62" t="n"/>
      <c r="M24" s="64" t="n"/>
    </row>
    <row r="25" ht="14.25" customHeight="1" s="43">
      <c r="D25" s="62" t="n"/>
      <c r="M25" s="64" t="n"/>
    </row>
    <row r="26" ht="14.25" customHeight="1" s="43">
      <c r="D26" s="62" t="n"/>
      <c r="M26" s="64" t="n"/>
    </row>
    <row r="27" ht="14.25" customHeight="1" s="43">
      <c r="D27" s="62" t="n"/>
      <c r="M27" s="64" t="n"/>
    </row>
    <row r="28" ht="14.25" customHeight="1" s="43">
      <c r="D28" s="62" t="n"/>
      <c r="M28" s="64" t="n"/>
    </row>
    <row r="29" ht="14.25" customHeight="1" s="43">
      <c r="D29" s="62" t="n"/>
      <c r="M29" s="64" t="n"/>
    </row>
    <row r="30" ht="14.25" customHeight="1" s="43">
      <c r="D30" s="62" t="n"/>
      <c r="M30" s="64" t="n"/>
    </row>
    <row r="31" ht="14.25" customHeight="1" s="43">
      <c r="D31" s="62" t="n"/>
      <c r="M31" s="64" t="n"/>
    </row>
    <row r="32" ht="14.25" customHeight="1" s="43">
      <c r="D32" s="62" t="n"/>
      <c r="M32" s="64" t="n"/>
    </row>
    <row r="33" ht="14.25" customHeight="1" s="43">
      <c r="D33" s="62" t="n"/>
      <c r="M33" s="64" t="n"/>
    </row>
    <row r="34" ht="14.25" customHeight="1" s="43">
      <c r="D34" s="62" t="n"/>
      <c r="M34" s="64" t="n"/>
    </row>
    <row r="35" ht="22.5" customHeight="1" s="43">
      <c r="D35" s="62" t="n"/>
      <c r="M35" s="64" t="n"/>
    </row>
    <row r="36" ht="22.5" customHeight="1" s="43">
      <c r="D36" s="62" t="n"/>
      <c r="M36" s="64" t="n"/>
    </row>
    <row r="37" ht="22.5" customHeight="1" s="43">
      <c r="D37" s="62" t="n"/>
      <c r="M37" s="64" t="n"/>
    </row>
    <row r="38" ht="22.5" customHeight="1" s="43">
      <c r="D38" s="62" t="n"/>
      <c r="M38" s="64" t="n"/>
    </row>
    <row r="39" ht="22.5" customHeight="1" s="43">
      <c r="D39" s="62" t="n"/>
      <c r="M39" s="64" t="n"/>
    </row>
    <row r="40" ht="22.5" customHeight="1" s="43">
      <c r="D40" s="62" t="n"/>
      <c r="M40" s="64" t="n"/>
    </row>
    <row r="41">
      <c r="D41" s="62" t="n"/>
      <c r="M41" s="64" t="n"/>
    </row>
    <row r="42" ht="71.25" customHeight="1" s="43">
      <c r="D42" s="62" t="n"/>
      <c r="E42" s="234">
        <f>" کارشناس ارشد مالیاتی شهرستان "&amp;data!D8&amp;CHAR(10)&amp;data!D14</f>
        <v/>
      </c>
      <c r="M42" s="64" t="n"/>
    </row>
    <row r="43">
      <c r="D43" s="62" t="n"/>
      <c r="M43" s="64" t="n"/>
    </row>
    <row r="44">
      <c r="D44" s="62" t="n"/>
      <c r="M44" s="64" t="n"/>
    </row>
    <row r="45">
      <c r="D45" s="47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31" t="n"/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3">
    <mergeCell ref="D5:M40"/>
    <mergeCell ref="E42:H45"/>
    <mergeCell ref="D3:M4"/>
  </mergeCells>
  <printOptions horizontalCentered="1"/>
  <pageMargins left="0" right="0" top="0.7480314960629921" bottom="0.7480314960629921" header="0.3149606299212598" footer="0.3149606299212598"/>
  <pageSetup orientation="portrait" paperSize="9" scale="85"/>
</worksheet>
</file>

<file path=xl/worksheets/sheet5.xml><?xml version="1.0" encoding="utf-8"?>
<worksheet xmlns="http://schemas.openxmlformats.org/spreadsheetml/2006/main">
  <sheetPr codeName="Sheet7">
    <tabColor theme="8" tint="-0.249977111117893"/>
    <outlinePr summaryBelow="1" summaryRight="1"/>
    <pageSetUpPr/>
  </sheetPr>
  <dimension ref="D2:O52"/>
  <sheetViews>
    <sheetView rightToLeft="1" topLeftCell="C19" workbookViewId="0">
      <selection activeCell="E7" sqref="E7"/>
    </sheetView>
  </sheetViews>
  <sheetFormatPr baseColWidth="8" defaultRowHeight="15"/>
  <cols>
    <col width="13.25" customWidth="1" style="43" min="10" max="10"/>
    <col width="3.625" customWidth="1" style="43" min="13" max="13"/>
    <col width="11.125" bestFit="1" customWidth="1" style="43" min="15" max="15"/>
  </cols>
  <sheetData>
    <row r="2">
      <c r="D2" s="58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59" t="n"/>
    </row>
    <row r="3">
      <c r="D3" s="62" t="n"/>
      <c r="O3" s="64" t="n"/>
    </row>
    <row r="4" ht="22.5" customHeight="1" s="43">
      <c r="D4" s="62" t="n"/>
      <c r="N4" s="34" t="inlineStr">
        <is>
          <t>شماره</t>
        </is>
      </c>
      <c r="O4" s="35">
        <f>data!M6</f>
        <v/>
      </c>
    </row>
    <row r="5" ht="14.25" customHeight="1" s="43">
      <c r="D5" s="62" t="n"/>
      <c r="E5" s="265">
        <f>"گزارش  استرداد اضافه مالیات "&amp;data!D11&amp;" سال "&amp;data!D9&amp;" مودی "&amp;data!D4</f>
        <v/>
      </c>
      <c r="N5" s="34" t="inlineStr">
        <is>
          <t>تاریخ</t>
        </is>
      </c>
      <c r="O5" s="35">
        <f>data!N6</f>
        <v/>
      </c>
    </row>
    <row r="6" ht="14.25" customHeight="1" s="43">
      <c r="D6" s="62" t="n"/>
      <c r="O6" s="64" t="n"/>
    </row>
    <row r="7">
      <c r="D7" s="47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31" t="n"/>
    </row>
    <row r="8" ht="22.5" customHeight="1" s="43">
      <c r="D8" s="266" t="inlineStr">
        <is>
          <t>عنوان مودی</t>
        </is>
      </c>
      <c r="E8" s="367" t="n"/>
      <c r="F8" s="387" t="n"/>
      <c r="G8" s="267">
        <f>data!D4</f>
        <v/>
      </c>
      <c r="H8" s="367" t="n"/>
      <c r="I8" s="387" t="n"/>
      <c r="J8" s="39" t="n"/>
      <c r="K8" s="39" t="n"/>
      <c r="L8" s="46" t="n"/>
      <c r="M8" s="46" t="n"/>
      <c r="N8" s="46" t="n"/>
      <c r="O8" s="59" t="n"/>
    </row>
    <row r="9" ht="22.5" customHeight="1" s="43">
      <c r="D9" s="266" t="inlineStr">
        <is>
          <t>شماره اقتصادی</t>
        </is>
      </c>
      <c r="E9" s="367" t="n"/>
      <c r="F9" s="387" t="n"/>
      <c r="G9" s="268">
        <f>data!D5</f>
        <v/>
      </c>
      <c r="H9" s="367" t="n"/>
      <c r="I9" s="387" t="n"/>
      <c r="J9" s="48" t="n"/>
      <c r="K9" s="48" t="n"/>
      <c r="O9" s="64" t="n"/>
    </row>
    <row r="10" ht="22.5" customHeight="1" s="43">
      <c r="D10" s="266" t="inlineStr">
        <is>
          <t>عملکرد منتهی به:</t>
        </is>
      </c>
      <c r="E10" s="367" t="n"/>
      <c r="F10" s="387" t="n"/>
      <c r="G10" s="269">
        <f>data!D9</f>
        <v/>
      </c>
      <c r="H10" s="46" t="n"/>
      <c r="I10" s="59" t="n"/>
      <c r="J10" s="48" t="n"/>
      <c r="K10" s="48" t="n"/>
      <c r="O10" s="64" t="n"/>
    </row>
    <row r="11" ht="22.5" customHeight="1" s="43">
      <c r="D11" s="266" t="inlineStr">
        <is>
          <t>نشانی قانونی شخص حقوقی/حقیقی:</t>
        </is>
      </c>
      <c r="E11" s="367" t="n"/>
      <c r="F11" s="387" t="n"/>
      <c r="G11" s="270">
        <f>data!D17</f>
        <v/>
      </c>
      <c r="H11" s="367" t="n"/>
      <c r="I11" s="367" t="n"/>
      <c r="J11" s="367" t="n"/>
      <c r="K11" s="387" t="n"/>
      <c r="L11" s="44" t="n"/>
      <c r="M11" s="44" t="n"/>
      <c r="N11" s="44" t="n"/>
      <c r="O11" s="31" t="n"/>
    </row>
    <row r="12" ht="14.25" customHeight="1" s="43">
      <c r="D12" s="267" t="n"/>
      <c r="E12" s="367" t="n"/>
      <c r="F12" s="367" t="n"/>
      <c r="G12" s="367" t="n"/>
      <c r="H12" s="367" t="n"/>
      <c r="I12" s="367" t="n"/>
      <c r="J12" s="367" t="n"/>
      <c r="K12" s="367" t="n"/>
      <c r="L12" s="367" t="n"/>
      <c r="M12" s="367" t="n"/>
      <c r="N12" s="367" t="n"/>
      <c r="O12" s="387" t="n"/>
    </row>
    <row r="13">
      <c r="D13" s="394">
        <f>" 1- مودی به موجب نامه وارد به شماره "&amp;data!M11&amp; " مورخ "&amp;data!N11&amp; "که در دبیرخانه اداره امور مالیاتی "&amp;data!D6&amp;" ثبت گردیده است، درخواست استرداد اضافه پرداختی را نموده است."</f>
        <v/>
      </c>
      <c r="E13" s="46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  <c r="O13" s="59" t="n"/>
    </row>
    <row r="14">
      <c r="D14" s="62" t="n"/>
      <c r="O14" s="64" t="n"/>
    </row>
    <row r="15">
      <c r="D15" s="47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  <c r="O15" s="31" t="n"/>
    </row>
    <row r="16">
      <c r="D16" s="395" t="n"/>
      <c r="E16" s="367" t="n"/>
      <c r="F16" s="367" t="n"/>
      <c r="G16" s="367" t="n"/>
      <c r="H16" s="367" t="n"/>
      <c r="I16" s="367" t="n"/>
      <c r="J16" s="367" t="n"/>
      <c r="K16" s="367" t="n"/>
      <c r="L16" s="367" t="n"/>
      <c r="M16" s="367" t="n"/>
      <c r="N16" s="367" t="n"/>
      <c r="O16" s="387" t="n"/>
    </row>
    <row r="17" ht="14.25" customHeight="1" s="43">
      <c r="D17" s="394">
        <f> IF(data!E34="بله"," 2- مودی اظهارنامه خود را با شماره "&amp;data!E36&amp;" مورخ "&amp;data!E38&amp;" تسلیم نموده است"," مودی هیچگونه اظهارنامه ای تسلیم ننموده است")</f>
        <v/>
      </c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59" t="n"/>
    </row>
    <row r="18" ht="14.25" customHeight="1" s="43">
      <c r="D18" s="47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44" t="n"/>
      <c r="O18" s="31" t="n"/>
    </row>
    <row r="19" ht="14.25" customHeight="1" s="43">
      <c r="D19" s="396" t="n"/>
      <c r="E19" s="367" t="n"/>
      <c r="F19" s="367" t="n"/>
      <c r="G19" s="367" t="n"/>
      <c r="H19" s="367" t="n"/>
      <c r="I19" s="367" t="n"/>
      <c r="J19" s="367" t="n"/>
      <c r="K19" s="367" t="n"/>
      <c r="L19" s="367" t="n"/>
      <c r="M19" s="367" t="n"/>
      <c r="N19" s="367" t="n"/>
      <c r="O19" s="387" t="n"/>
    </row>
    <row r="20" ht="14.25" customHeight="1" s="43">
      <c r="D20" s="394">
        <f>" 3- پس از رسیدگی به عمل آمده و به موجب  "&amp;IF(TODAY()&gt;=data!AJ1,"*فایل منقضی شد*",data!E40)&amp;" به شرح زیر قطعی شده است:"</f>
        <v/>
      </c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59" t="n"/>
    </row>
    <row r="21" ht="14.25" customHeight="1" s="43">
      <c r="D21" s="62" t="n"/>
      <c r="O21" s="64" t="n"/>
    </row>
    <row r="22" ht="14.25" customHeight="1" s="43">
      <c r="D22" s="47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31" t="n"/>
    </row>
    <row r="23" ht="14.25" customHeight="1" s="43">
      <c r="D23" s="397" t="n"/>
      <c r="E23" s="367" t="n"/>
      <c r="F23" s="367" t="n"/>
      <c r="G23" s="367" t="n"/>
      <c r="H23" s="367" t="n"/>
      <c r="I23" s="367" t="n"/>
      <c r="J23" s="367" t="n"/>
      <c r="K23" s="367" t="n"/>
      <c r="L23" s="367" t="n"/>
      <c r="M23" s="367" t="n"/>
      <c r="N23" s="367" t="n"/>
      <c r="O23" s="387" t="n"/>
    </row>
    <row r="24" ht="14.25" customHeight="1" s="43">
      <c r="D24" s="398">
        <f>"4- شماره برگ قطعی مالیاتی "&amp;data!E42&amp;" مورخ "&amp;data!E44&amp;" می باشد"&amp;CHAR(10)&amp;CHAR(10)&amp;" درامد تشخیصی قطعی قبل از کسر مالیات مبلغ                        "&amp;IF(TODAY()&gt;=data!AJ1,"*فایل منقضی شد*",TEXT(data!E46,"#,##0"))&amp;"    ریال"&amp;CHAR(10)&amp;"   کسر می گردد:  معافیت ها و بخشودگی                                     "&amp;TEXT(data!E48,"#,##0")&amp;CHAR(10)&amp;"                                                                           -------------------"&amp;CHAR(10)&amp;" مانده مشمول مالیات                                                        "&amp;TEXT(data!E50,"#,##0")&amp;CHAR(10)&amp;" مالیات قطعی                                                                  "&amp;IF(TODAY()&gt;=data!AJ1,"*فایل منقضی شد*",TEXT(data!E52,"#,##0"))&amp;CHAR(10)&amp;" اضافه می گردد: جرایم غیرقابل بخشش                                     "&amp;TEXT(data!E54,"#,##0")&amp;CHAR(10)&amp;"                                                                           -------------------"&amp;CHAR(10)&amp;" جمع                                                                          "&amp;TEXT(data!E56,"#,##0")&amp;CHAR(10)&amp;" کسر می گردد:"&amp;CHAR(10)&amp;" جایزه خوش حسابی                                                          "&amp;TEXT(data!E58,"#,##0")&amp;CHAR(10)&amp;" به شرح جدول الف                                                           "&amp;TEXT(data!E60,"#,##0")&amp;CHAR(10)&amp;"                                                                           -------------------"&amp;CHAR(10)&amp;" مازاد پرداختی                                                                "&amp;TEXT(data!E62,"#,##0")</f>
        <v/>
      </c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59" t="n"/>
    </row>
    <row r="25" ht="14.25" customHeight="1" s="43">
      <c r="D25" s="62" t="n"/>
      <c r="O25" s="64" t="n"/>
    </row>
    <row r="26" ht="14.25" customHeight="1" s="43">
      <c r="D26" s="62" t="n"/>
      <c r="O26" s="64" t="n"/>
    </row>
    <row r="27" ht="14.25" customHeight="1" s="43">
      <c r="D27" s="62" t="n"/>
      <c r="O27" s="64" t="n"/>
    </row>
    <row r="28" ht="14.25" customHeight="1" s="43">
      <c r="D28" s="62" t="n"/>
      <c r="O28" s="64" t="n"/>
    </row>
    <row r="29" ht="14.25" customHeight="1" s="43">
      <c r="D29" s="62" t="n"/>
      <c r="O29" s="64" t="n"/>
    </row>
    <row r="30" ht="14.25" customHeight="1" s="43">
      <c r="D30" s="62" t="n"/>
      <c r="O30" s="64" t="n"/>
    </row>
    <row r="31" ht="14.25" customHeight="1" s="43">
      <c r="D31" s="62" t="n"/>
      <c r="O31" s="64" t="n"/>
    </row>
    <row r="32" ht="14.25" customHeight="1" s="43">
      <c r="D32" s="62" t="n"/>
      <c r="O32" s="64" t="n"/>
    </row>
    <row r="33" ht="14.25" customHeight="1" s="43">
      <c r="D33" s="62" t="n"/>
      <c r="O33" s="64" t="n"/>
    </row>
    <row r="34" ht="14.25" customHeight="1" s="43">
      <c r="D34" s="62" t="n"/>
      <c r="O34" s="64" t="n"/>
    </row>
    <row r="35" ht="14.25" customHeight="1" s="43">
      <c r="D35" s="62" t="n"/>
      <c r="O35" s="64" t="n"/>
    </row>
    <row r="36" ht="14.25" customHeight="1" s="43">
      <c r="D36" s="62" t="n"/>
      <c r="O36" s="64" t="n"/>
    </row>
    <row r="37" ht="14.25" customHeight="1" s="43">
      <c r="D37" s="62" t="n"/>
      <c r="O37" s="64" t="n"/>
    </row>
    <row r="38" ht="14.25" customHeight="1" s="43">
      <c r="D38" s="62" t="n"/>
      <c r="O38" s="64" t="n"/>
    </row>
    <row r="39" ht="14.25" customHeight="1" s="43">
      <c r="D39" s="62" t="n"/>
      <c r="O39" s="64" t="n"/>
    </row>
    <row r="40" ht="14.25" customHeight="1" s="43">
      <c r="D40" s="62" t="n"/>
      <c r="O40" s="64" t="n"/>
    </row>
    <row r="41" ht="14.25" customHeight="1" s="43">
      <c r="D41" s="62" t="n"/>
      <c r="O41" s="64" t="n"/>
    </row>
    <row r="42" ht="14.25" customHeight="1" s="43">
      <c r="D42" s="62" t="n"/>
      <c r="O42" s="64" t="n"/>
    </row>
    <row r="43" ht="14.25" customHeight="1" s="43">
      <c r="D43" s="62" t="n"/>
      <c r="O43" s="64" t="n"/>
    </row>
    <row r="44" ht="22.5" customHeight="1" s="43">
      <c r="D44" s="62" t="n"/>
      <c r="O44" s="64" t="n"/>
    </row>
    <row r="45" ht="22.5" customHeight="1" s="43">
      <c r="D45" s="62" t="n"/>
      <c r="O45" s="64" t="n"/>
    </row>
    <row r="46" ht="22.5" customHeight="1" s="43">
      <c r="D46" s="62" t="n"/>
      <c r="O46" s="64" t="n"/>
    </row>
    <row r="47">
      <c r="D47" s="47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  <c r="O47" s="31" t="n"/>
    </row>
    <row r="48" ht="22.5" customHeight="1" s="43"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</row>
    <row r="49">
      <c r="E49" s="233">
        <f>" کارشناس ارشد مالیاتی شهرستان "&amp;data!D8&amp;CHAR(10)&amp;data!D14</f>
        <v/>
      </c>
    </row>
    <row r="50"/>
    <row r="51"/>
    <row r="52"/>
  </sheetData>
  <mergeCells count="18">
    <mergeCell ref="D13:O15"/>
    <mergeCell ref="E49:H52"/>
    <mergeCell ref="D16:O16"/>
    <mergeCell ref="D11:F11"/>
    <mergeCell ref="G10:I10"/>
    <mergeCell ref="D20:O22"/>
    <mergeCell ref="D24:O47"/>
    <mergeCell ref="D19:O19"/>
    <mergeCell ref="D17:O18"/>
    <mergeCell ref="D23:O23"/>
    <mergeCell ref="E5:M6"/>
    <mergeCell ref="G8:I8"/>
    <mergeCell ref="G9:I9"/>
    <mergeCell ref="D9:F9"/>
    <mergeCell ref="G11:K11"/>
    <mergeCell ref="D8:F8"/>
    <mergeCell ref="D12:O12"/>
    <mergeCell ref="D10:F10"/>
  </mergeCells>
  <printOptions horizontalCentered="1" verticalCentered="1"/>
  <pageMargins left="0" right="0" top="0.7480314960629921" bottom="0.7480314960629921" header="0.3149606299212598" footer="0.3149606299212598"/>
  <pageSetup orientation="portrait" paperSize="9" scale="8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Sheet8">
    <tabColor theme="7" tint="-0.249977111117893"/>
    <outlinePr summaryBelow="1" summaryRight="1"/>
    <pageSetUpPr/>
  </sheetPr>
  <dimension ref="E2:O58"/>
  <sheetViews>
    <sheetView rightToLeft="1" workbookViewId="0">
      <selection activeCell="E4" sqref="E4"/>
    </sheetView>
  </sheetViews>
  <sheetFormatPr baseColWidth="8" defaultRowHeight="15"/>
  <cols>
    <col width="11.125" bestFit="1" customWidth="1" style="43" min="15" max="15"/>
  </cols>
  <sheetData>
    <row r="2" ht="14.25" customHeight="1" s="43">
      <c r="E2" s="399">
        <f>" ادامه گزارش استرداد اضافه مالیات "&amp;data!D11&amp;" سال "&amp;data!D9&amp;" مودی "&amp;data!D4</f>
        <v/>
      </c>
      <c r="F2" s="46" t="n"/>
      <c r="G2" s="46" t="n"/>
      <c r="H2" s="46" t="n"/>
      <c r="I2" s="46" t="n"/>
      <c r="J2" s="46" t="n"/>
      <c r="K2" s="46" t="n"/>
      <c r="L2" s="46" t="n"/>
      <c r="M2" s="59" t="n"/>
      <c r="N2" s="34" t="inlineStr">
        <is>
          <t>شماره</t>
        </is>
      </c>
      <c r="O2" s="34">
        <f>data!M6</f>
        <v/>
      </c>
    </row>
    <row r="3" ht="14.25" customHeight="1" s="43">
      <c r="E3" s="47" t="n"/>
      <c r="F3" s="44" t="n"/>
      <c r="G3" s="44" t="n"/>
      <c r="H3" s="44" t="n"/>
      <c r="I3" s="44" t="n"/>
      <c r="J3" s="44" t="n"/>
      <c r="K3" s="44" t="n"/>
      <c r="L3" s="44" t="n"/>
      <c r="M3" s="31" t="n"/>
      <c r="N3" s="34" t="inlineStr">
        <is>
          <t>تاریخ</t>
        </is>
      </c>
      <c r="O3" s="34">
        <f>data!N6</f>
        <v/>
      </c>
    </row>
    <row r="6" ht="14.25" customHeight="1" s="43">
      <c r="E6" s="266" t="inlineStr">
        <is>
          <t>با توجه به گزارش فوق، اضافه پرداختی مؤدی در عملکرد سال مورد گزارش بعد از کسر موارد زیر به وی قابل استرداد خواهد بود</t>
        </is>
      </c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59" t="n"/>
    </row>
    <row r="7" ht="14.25" customHeight="1" s="43">
      <c r="E7" s="47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31" t="n"/>
    </row>
    <row r="8">
      <c r="E8" s="62" t="n"/>
      <c r="O8" s="64" t="n"/>
    </row>
    <row r="9">
      <c r="E9" s="398">
        <f>" الف- با توجه به نامه شماره "&amp;data!M9&amp;" مورخ "&amp;data!N9&amp;" اداره وصول و اجرا، مودی "&amp;data!O9&amp;CHAR(10)&amp;" مودی مبلغ "&amp;TEXT(data!P9,"#,##0")&amp;" ریال بابت مالیات و جرایم سنوات "&amp;data!Q9&amp;" دارد"</f>
        <v/>
      </c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59" t="n"/>
    </row>
    <row r="10">
      <c r="E10" s="62" t="n"/>
      <c r="O10" s="64" t="n"/>
    </row>
    <row r="11">
      <c r="E11" s="47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  <c r="O11" s="31" t="n"/>
    </row>
    <row r="12" ht="15.75" customHeight="1" s="43">
      <c r="E12" s="50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63" t="n"/>
    </row>
    <row r="13">
      <c r="E13" s="398">
        <f>" ب- با توجه به نامه شماره "&amp;data!M10&amp;" مورخ "&amp;data!N10&amp;" واحد مالیات حقوق و تکلیفی، مودی "&amp;data!O10&amp;CHAR(10)&amp;" مودی مبلغ "&amp;TEXT(data!P10,"#,##0")&amp;" ریال بابت مالیات و جرایم سنوات  "&amp;data!Q10&amp;" دارد"</f>
        <v/>
      </c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  <c r="O13" s="59" t="n"/>
    </row>
    <row r="14">
      <c r="E14" s="62" t="n"/>
      <c r="O14" s="64" t="n"/>
    </row>
    <row r="15">
      <c r="E15" s="47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  <c r="O15" s="31" t="n"/>
    </row>
    <row r="16">
      <c r="E16" s="62" t="n"/>
      <c r="O16" s="64" t="n"/>
    </row>
    <row r="17" ht="14.25" customHeight="1" s="43">
      <c r="E17" s="398">
        <f>" ج- با توجه به نامه شماره "&amp;data!M10&amp;" مورخ "&amp;data!N10&amp;" واحد مالیات حقوق و تکلیفی، مودی "&amp;data!O10&amp;CHAR(10)&amp;" مودی مبلغ "&amp;TEXT(data!P10,"#,##0")&amp;" ریال بابت مالیات و جرایم سنوات  "&amp;data!Q10&amp;" دارد"</f>
        <v/>
      </c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59" t="n"/>
    </row>
    <row r="18">
      <c r="E18" s="62" t="n"/>
      <c r="O18" s="64" t="n"/>
    </row>
    <row r="19">
      <c r="E19" s="47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31" t="n"/>
    </row>
    <row r="20">
      <c r="E20" s="62" t="n"/>
      <c r="O20" s="64" t="n"/>
    </row>
    <row r="21" ht="14.25" customHeight="1" s="43">
      <c r="E21" s="400">
        <f>" پرداخت مانده اضافه پرداختی قابل پرداخت به مودی پس از کسر بدهی های موضوع الف و ب و ج فوق به مبلغ "&amp;IF(TODAY()&gt;=data!AJ1,"*فایل منقضی شد*",TEXT((-data!E62-data!P15),"#,##0"))&amp;" مورد تایید است"&amp;CHAR(10)&amp;" مراتب جهت اظهار نظر رئیس گروه مالیاتی اعلام می گردد"</f>
        <v/>
      </c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  <c r="O21" s="59" t="n"/>
    </row>
    <row r="22" ht="14.25" customHeight="1" s="43">
      <c r="E22" s="62" t="n"/>
      <c r="O22" s="64" t="n"/>
    </row>
    <row r="23" ht="14.25" customHeight="1" s="43">
      <c r="E23" s="62" t="n"/>
      <c r="O23" s="64" t="n"/>
    </row>
    <row r="24" ht="22.5" customHeight="1" s="43">
      <c r="E24" s="62" t="n"/>
      <c r="O24" s="64" t="n"/>
    </row>
    <row r="25" ht="22.5" customHeight="1" s="43">
      <c r="E25" s="47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1" t="n"/>
    </row>
    <row r="26">
      <c r="E26" s="62" t="n"/>
      <c r="O26" s="64" t="n"/>
    </row>
    <row r="27" ht="14.25" customHeight="1" s="43">
      <c r="E27" s="62" t="n"/>
      <c r="L27" s="272">
        <f>" کارشناس ارشد مالیاتی شهرستان "&amp;data!D8&amp;CHAR(10)&amp;data!D14</f>
        <v/>
      </c>
      <c r="O27" s="64" t="n"/>
    </row>
    <row r="28" ht="14.25" customHeight="1" s="43">
      <c r="E28" s="62" t="n"/>
      <c r="O28" s="64" t="n"/>
    </row>
    <row r="29" ht="14.25" customHeight="1" s="43">
      <c r="E29" s="62" t="n"/>
      <c r="O29" s="64" t="n"/>
    </row>
    <row r="30">
      <c r="E30" s="62" t="n"/>
      <c r="O30" s="64" t="n"/>
    </row>
    <row r="31">
      <c r="E31" s="292">
        <f>" نظر رئیس گروه مالیاتی شهرستان "&amp;data!D8</f>
        <v/>
      </c>
      <c r="O31" s="64" t="n"/>
    </row>
    <row r="32">
      <c r="E32" s="62" t="n"/>
      <c r="O32" s="64" t="n"/>
    </row>
    <row r="33" ht="14.25" customHeight="1" s="43">
      <c r="E33" s="401">
        <f>" رئیس محترم اداره مالیاتی شهرستان "&amp;data!D8&amp;CHAR(10)&amp;" مضمون گزارش استرداد مالیات مربوط به عملکرد سال "&amp;data!D9&amp;" مودی "&amp;data!D4&amp;" تهیه شده توسط کارشناس ارشد واحد مالیاتی "&amp;data!D6&amp;" با تعیین و تایید مبلغ "&amp;TEXT(-data!E62,"#,##0")&amp;" ریال مالیات اضافه دریافتی قبل از کسر بدهی های مالیاتی دیگر و مبلغ "&amp;TEXT((-data!E62-data!P15),"#,##0")&amp;" ریال مانده اضافه دریافتی بعد از کسر بدهی های مالیاتی دیگر مورد تایید اینجانب است."&amp;CHAR(10)&amp;" جهت استحضار و تایید و صدور دستور لازم مبنی بر تهیه برگ استردا ایفاد می گردد"</f>
        <v/>
      </c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59" t="n"/>
    </row>
    <row r="34" ht="14.25" customHeight="1" s="43">
      <c r="E34" s="62" t="n"/>
      <c r="O34" s="64" t="n"/>
    </row>
    <row r="35" ht="14.25" customHeight="1" s="43">
      <c r="E35" s="62" t="n"/>
      <c r="O35" s="64" t="n"/>
    </row>
    <row r="36" ht="14.25" customHeight="1" s="43">
      <c r="E36" s="62" t="n"/>
      <c r="O36" s="64" t="n"/>
    </row>
    <row r="37" ht="14.25" customHeight="1" s="43">
      <c r="E37" s="62" t="n"/>
      <c r="O37" s="64" t="n"/>
    </row>
    <row r="38" ht="14.25" customHeight="1" s="43">
      <c r="E38" s="62" t="n"/>
      <c r="O38" s="64" t="n"/>
    </row>
    <row r="39">
      <c r="E39" s="62" t="n"/>
      <c r="O39" s="64" t="n"/>
    </row>
    <row r="40">
      <c r="E40" s="47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31" t="n"/>
    </row>
    <row r="41" ht="22.5" customHeight="1" s="43">
      <c r="E41" s="342" t="n"/>
      <c r="F41" s="327" t="n"/>
      <c r="G41" s="327" t="n"/>
      <c r="H41" s="327" t="n"/>
      <c r="I41" s="327" t="n"/>
      <c r="J41" s="327" t="n"/>
      <c r="K41" s="327" t="n"/>
      <c r="L41" s="285">
        <f>" رئیس گروه مالیاتی شهرستان "&amp;data!D8&amp;CHAR(10)&amp;data!D13</f>
        <v/>
      </c>
      <c r="O41" s="64" t="n"/>
    </row>
    <row r="42">
      <c r="E42" s="62" t="n"/>
      <c r="O42" s="64" t="n"/>
    </row>
    <row r="43" ht="14.25" customHeight="1" s="43">
      <c r="E43" s="282">
        <f>" نظر رئیس امور مالیاتی شهرستان "&amp;data!D8</f>
        <v/>
      </c>
      <c r="O43" s="64" t="n"/>
    </row>
    <row r="44" ht="14.25" customHeight="1" s="43">
      <c r="E44" s="62" t="n"/>
      <c r="O44" s="64" t="n"/>
    </row>
    <row r="45" ht="14.25" customHeight="1" s="43">
      <c r="E45" s="401">
        <f>" رئیس گروه مالیاتی شهرستان "&amp;data!D8&amp;CHAR(10)&amp;" گزارش استرداد  مالیات اضافه دریافتی مربوط به عملکرد سال "&amp;data!D9&amp;" مودی "&amp;data!D4&amp;" با تعیین مبلغ "&amp;TEXT(-data!E62,"#,##0")&amp; " ریال مانده اضافه دریافتی قبل از کسر بدهی های مالیاتی دیگر و مبلغ "&amp;TEXT((-data!E62-data!P15),"#,##0")&amp; " ریال مانده اضافه دریافتی بعد از کسر بدهیهای مالیاتی دیگر که می بایست به مودی مسترد گردد، ملاحضه شد و مورد تایید است. لطفا دستور فرمایید اقدام به تهیه فرم استرداد مالیاتی بر اساس موازین قانونی دستورالعمل مربوط گردد."</f>
        <v/>
      </c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59" t="n"/>
    </row>
    <row r="46" ht="14.25" customHeight="1" s="43">
      <c r="E46" s="62" t="n"/>
      <c r="O46" s="64" t="n"/>
    </row>
    <row r="47" ht="14.25" customHeight="1" s="43">
      <c r="E47" s="62" t="n"/>
      <c r="O47" s="64" t="n"/>
    </row>
    <row r="48" ht="14.25" customHeight="1" s="43">
      <c r="E48" s="62" t="n"/>
      <c r="O48" s="64" t="n"/>
    </row>
    <row r="49" ht="14.25" customHeight="1" s="43">
      <c r="E49" s="62" t="n"/>
      <c r="O49" s="64" t="n"/>
    </row>
    <row r="50" ht="14.25" customHeight="1" s="43">
      <c r="E50" s="62" t="n"/>
      <c r="O50" s="64" t="n"/>
    </row>
    <row r="51" ht="14.25" customHeight="1" s="43">
      <c r="E51" s="62" t="n"/>
      <c r="O51" s="64" t="n"/>
    </row>
    <row r="52" ht="22.5" customHeight="1" s="43">
      <c r="E52" s="47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31" t="n"/>
    </row>
    <row r="53">
      <c r="E53" s="62" t="n"/>
      <c r="L53" s="272">
        <f>" رئیس امور مالیاتی شهرستان "&amp;data!D8&amp;CHAR(10)&amp;data!D12</f>
        <v/>
      </c>
      <c r="O53" s="64" t="n"/>
    </row>
    <row r="54">
      <c r="E54" s="62" t="n"/>
      <c r="O54" s="64" t="n"/>
    </row>
    <row r="55">
      <c r="E55" s="62" t="n"/>
      <c r="O55" s="64" t="n"/>
    </row>
    <row r="56">
      <c r="E56" s="62" t="n"/>
      <c r="O56" s="64" t="n"/>
    </row>
    <row r="57">
      <c r="E57" s="62" t="n"/>
      <c r="O57" s="64" t="n"/>
    </row>
    <row r="58">
      <c r="E58" s="47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31" t="n"/>
    </row>
  </sheetData>
  <mergeCells count="13">
    <mergeCell ref="L53:O56"/>
    <mergeCell ref="E17:O19"/>
    <mergeCell ref="E21:O25"/>
    <mergeCell ref="E2:M3"/>
    <mergeCell ref="L27:O30"/>
    <mergeCell ref="E6:O7"/>
    <mergeCell ref="E9:O11"/>
    <mergeCell ref="E33:O40"/>
    <mergeCell ref="L41:O43"/>
    <mergeCell ref="E45:O52"/>
    <mergeCell ref="E31:H32"/>
    <mergeCell ref="E13:O15"/>
    <mergeCell ref="E43:H44"/>
  </mergeCells>
  <printOptions horizontalCentered="1" verticalCentered="1"/>
  <pageMargins left="0" right="0" top="0.3543307086614174" bottom="0" header="0.3149606299212598" footer="0.3149606299212598"/>
  <pageSetup orientation="portrait" paperSize="9" scale="9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5">
    <tabColor theme="4" tint="0.3999755851924192"/>
    <outlinePr summaryBelow="1" summaryRight="1"/>
    <pageSetUpPr/>
  </sheetPr>
  <dimension ref="D3:N48"/>
  <sheetViews>
    <sheetView rightToLeft="1" topLeftCell="A16" workbookViewId="0">
      <selection activeCell="B9" sqref="B9"/>
    </sheetView>
  </sheetViews>
  <sheetFormatPr baseColWidth="8" defaultRowHeight="15"/>
  <cols>
    <col width="6.75" customWidth="1" style="43" min="4" max="4"/>
    <col width="11.25" customWidth="1" style="43" min="5" max="5"/>
    <col width="9.625" customWidth="1" style="43" min="6" max="6"/>
    <col width="11.875" customWidth="1" style="43" min="7" max="7"/>
    <col width="9.625" customWidth="1" style="43" min="8" max="8"/>
    <col width="16.375" customWidth="1" style="43" min="9" max="9"/>
    <col width="18.375" bestFit="1" customWidth="1" style="43" min="10" max="10"/>
    <col width="10.375" bestFit="1" customWidth="1" style="43" min="11" max="12"/>
    <col width="9.625" customWidth="1" style="43" min="13" max="13"/>
  </cols>
  <sheetData>
    <row r="3">
      <c r="D3" s="328" t="n"/>
    </row>
    <row r="4"/>
    <row r="5">
      <c r="D5" s="58" t="n"/>
      <c r="E5" s="46" t="n"/>
      <c r="F5" s="46" t="n"/>
      <c r="G5" s="46" t="n"/>
      <c r="H5" s="46" t="n"/>
      <c r="I5" s="46" t="n"/>
      <c r="J5" s="46" t="n"/>
      <c r="K5" s="46" t="n"/>
      <c r="L5" s="46" t="n"/>
      <c r="M5" s="59" t="n"/>
    </row>
    <row r="6" ht="22.5" customHeight="1" s="43">
      <c r="D6" s="62" t="n"/>
      <c r="E6" s="325" t="inlineStr">
        <is>
          <t>جمهوری اسلامی ایران</t>
        </is>
      </c>
      <c r="G6" s="64" t="n"/>
      <c r="H6" s="402" t="inlineStr">
        <is>
          <t>برگ استرداد مالیات اضافه دریافتی</t>
        </is>
      </c>
      <c r="I6" s="46" t="n"/>
      <c r="J6" s="59" t="n"/>
      <c r="K6" s="48" t="n"/>
      <c r="L6" s="48" t="inlineStr">
        <is>
          <t>شماره:</t>
        </is>
      </c>
      <c r="M6" s="63">
        <f>data!M5</f>
        <v/>
      </c>
      <c r="N6" s="48" t="n"/>
    </row>
    <row r="7" ht="22.5" customHeight="1" s="43">
      <c r="D7" s="62" t="n"/>
      <c r="E7" s="325" t="inlineStr">
        <is>
          <t>وزرات امور اقتصاد و دارایی</t>
        </is>
      </c>
      <c r="G7" s="64" t="n"/>
      <c r="H7" s="47" t="n"/>
      <c r="I7" s="44" t="n"/>
      <c r="J7" s="31" t="n"/>
      <c r="K7" s="48" t="n"/>
      <c r="L7" s="48" t="inlineStr">
        <is>
          <t>تاریخ</t>
        </is>
      </c>
      <c r="M7" s="63">
        <f>data!N5</f>
        <v/>
      </c>
      <c r="N7" s="48" t="n"/>
    </row>
    <row r="8" ht="22.5" customHeight="1" s="43">
      <c r="D8" s="62" t="n"/>
      <c r="E8" s="318" t="inlineStr">
        <is>
          <t>سازمان امور مالیاتی کشور</t>
        </is>
      </c>
      <c r="H8" s="48" t="n"/>
      <c r="I8" s="48" t="n"/>
      <c r="J8" s="48" t="n"/>
      <c r="K8" s="48" t="n"/>
      <c r="L8" s="48" t="inlineStr">
        <is>
          <t>شماره پرونده</t>
        </is>
      </c>
      <c r="M8" s="63">
        <f>data!D19</f>
        <v/>
      </c>
      <c r="N8" s="48" t="n"/>
    </row>
    <row r="9" ht="24" customHeight="1" s="43">
      <c r="D9" s="62" t="n"/>
      <c r="E9" s="48" t="n"/>
      <c r="F9" s="329" t="n"/>
      <c r="L9" s="48" t="n"/>
      <c r="M9" s="63" t="n"/>
      <c r="N9" s="48" t="n"/>
    </row>
    <row r="10" ht="22.5" customHeight="1" s="43">
      <c r="D10" s="62" t="n"/>
      <c r="E10" s="325" t="inlineStr">
        <is>
          <t>سازمان امور مالیاتی کشور- موضوع ماده 242 اصلاحی قانونی مالاتی های مستقیم مصوب 1380/11/27</t>
        </is>
      </c>
      <c r="M10" s="64" t="n"/>
      <c r="N10" s="48" t="n"/>
    </row>
    <row r="11" ht="22.5" customHeight="1" s="43">
      <c r="D11" s="62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63" t="n"/>
      <c r="N11" s="48" t="n"/>
    </row>
    <row r="12" ht="22.5" customHeight="1" s="43">
      <c r="D12" s="294" t="inlineStr">
        <is>
          <t>مودی:</t>
        </is>
      </c>
      <c r="E12" s="46" t="n"/>
      <c r="F12" s="295">
        <f>data!D4</f>
        <v/>
      </c>
      <c r="G12" s="46" t="n"/>
      <c r="H12" s="46" t="n"/>
      <c r="I12" s="295" t="inlineStr">
        <is>
          <t>شماره اقتصادی:</t>
        </is>
      </c>
      <c r="J12" s="46" t="n"/>
      <c r="K12" s="330">
        <f>data!D5</f>
        <v/>
      </c>
      <c r="L12" s="46" t="n"/>
      <c r="M12" s="51" t="n"/>
      <c r="N12" s="48" t="n"/>
    </row>
    <row r="13" ht="22.5" customHeight="1" s="43">
      <c r="D13" s="332" t="inlineStr">
        <is>
          <t>نشانی:</t>
        </is>
      </c>
      <c r="F13" s="331">
        <f>data!D17</f>
        <v/>
      </c>
      <c r="M13" s="54" t="n"/>
      <c r="N13" s="48" t="n"/>
    </row>
    <row r="14" ht="22.5" customHeight="1" s="43">
      <c r="D14" s="297" t="inlineStr">
        <is>
          <t>منبع مالیاتی:</t>
        </is>
      </c>
      <c r="E14" s="44" t="n"/>
      <c r="F14" s="44" t="n"/>
      <c r="G14" s="52">
        <f>data!D11</f>
        <v/>
      </c>
      <c r="H14" s="52" t="inlineStr">
        <is>
          <t>عملکرد سال:</t>
        </is>
      </c>
      <c r="I14" s="52">
        <f>data!D9</f>
        <v/>
      </c>
      <c r="J14" s="52" t="inlineStr">
        <is>
          <t>دوره:</t>
        </is>
      </c>
      <c r="K14" s="52">
        <f>data!D10</f>
        <v/>
      </c>
      <c r="L14" s="52" t="n"/>
      <c r="M14" s="53" t="n"/>
      <c r="N14" s="48" t="n"/>
    </row>
    <row r="15" ht="15.75" customHeight="1" s="43">
      <c r="D15" s="62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63" t="n"/>
      <c r="N15" s="48" t="n"/>
    </row>
    <row r="16" ht="22.5" customHeight="1" s="43">
      <c r="D16" s="403">
        <f>" مبلغ"&amp;TEXT(data!J18,"#,##0")&amp;" ریال به موجب  "&amp;data!F18&amp;" فقره رسید مالیاتی به شرح ذیل به شرح  جدول الف "</f>
        <v/>
      </c>
      <c r="M16" s="64" t="n"/>
      <c r="N16" s="48" t="n"/>
    </row>
    <row r="17" ht="22.5" customHeight="1" s="43">
      <c r="D17" s="62" t="n"/>
      <c r="E17" s="266" t="inlineStr">
        <is>
          <t>شماره قبض</t>
        </is>
      </c>
      <c r="F17" s="266" t="inlineStr">
        <is>
          <t>تاریخ صدور</t>
        </is>
      </c>
      <c r="G17" s="266" t="inlineStr">
        <is>
          <t>نام شعبه</t>
        </is>
      </c>
      <c r="H17" s="266" t="inlineStr">
        <is>
          <t>شهرستان</t>
        </is>
      </c>
      <c r="I17" s="266" t="inlineStr">
        <is>
          <t>مبلغ مندرج در قبض</t>
        </is>
      </c>
      <c r="J17" s="266" t="inlineStr">
        <is>
          <t>شماره ردیف دفتر درامد</t>
        </is>
      </c>
      <c r="K17" s="266" t="inlineStr">
        <is>
          <t>ملاحضات</t>
        </is>
      </c>
      <c r="L17" s="266" t="n"/>
      <c r="M17" s="63" t="n"/>
      <c r="N17" s="48" t="n"/>
    </row>
    <row r="18" ht="22.5" customHeight="1" s="43">
      <c r="D18" s="62" t="n"/>
      <c r="E18" s="76" t="inlineStr">
        <is>
          <t>جدول الف</t>
        </is>
      </c>
      <c r="F18" s="76" t="inlineStr">
        <is>
          <t>جدول الف</t>
        </is>
      </c>
      <c r="G18" s="76" t="n"/>
      <c r="H18" s="76">
        <f>data!D8</f>
        <v/>
      </c>
      <c r="I18" s="77">
        <f>data!J18</f>
        <v/>
      </c>
      <c r="J18" s="55" t="n"/>
      <c r="K18" s="55" t="n"/>
      <c r="L18" s="55" t="n"/>
      <c r="M18" s="64" t="n"/>
    </row>
    <row r="19" ht="14.25" customHeight="1" s="43">
      <c r="D19" s="404">
        <f>" پرداخت نموده اند که به موجب گزارش رسیدگی شماره "&amp;data!M6&amp; "مورخ"&amp;data!N6&amp;" اداره امور مالیاتی و رای هیات حل اختلاف مالیاتی مبلغ مالیات پرداختی به شرح زیر و به علت "&amp;data!D18&amp;" قابل استرداد تشخیص گردیده است"</f>
        <v/>
      </c>
      <c r="M19" s="64" t="n"/>
    </row>
    <row r="20" ht="14.25" customHeight="1" s="43">
      <c r="D20" s="62" t="n"/>
      <c r="M20" s="64" t="n"/>
    </row>
    <row r="21" ht="14.25" customHeight="1" s="43">
      <c r="D21" s="62" t="n"/>
      <c r="M21" s="64" t="n"/>
    </row>
    <row r="22" ht="14.25" customHeight="1" s="43">
      <c r="D22" s="62" t="n"/>
      <c r="M22" s="64" t="n"/>
    </row>
    <row r="23" ht="14.25" customHeight="1" s="43">
      <c r="D23" s="62" t="n"/>
      <c r="M23" s="64" t="n"/>
    </row>
    <row r="24" ht="22.5" customHeight="1" s="43">
      <c r="D24" s="62" t="n"/>
      <c r="E24" s="266" t="inlineStr">
        <is>
          <t>شرح مبالغ قابل استرداد</t>
        </is>
      </c>
      <c r="F24" s="367" t="n"/>
      <c r="G24" s="367" t="n"/>
      <c r="H24" s="367" t="n"/>
      <c r="I24" s="387" t="n"/>
      <c r="J24" s="266" t="inlineStr">
        <is>
          <t>مبلغ به ریال</t>
        </is>
      </c>
      <c r="K24" s="367" t="n"/>
      <c r="L24" s="387" t="n"/>
      <c r="M24" s="64" t="n"/>
    </row>
    <row r="25" ht="22.5" customHeight="1" s="43">
      <c r="D25" s="62" t="n"/>
      <c r="E25" s="405" t="inlineStr">
        <is>
          <t>اصل مالیات</t>
        </is>
      </c>
      <c r="F25" s="367" t="n"/>
      <c r="G25" s="367" t="n"/>
      <c r="H25" s="367" t="n"/>
      <c r="I25" s="387" t="n"/>
      <c r="J25" s="406">
        <f>data!H27</f>
        <v/>
      </c>
      <c r="K25" s="367" t="n"/>
      <c r="L25" s="387" t="n"/>
      <c r="M25" s="64" t="n"/>
    </row>
    <row r="26" ht="22.5" customHeight="1" s="43">
      <c r="D26" s="62" t="n"/>
      <c r="E26" s="405" t="inlineStr">
        <is>
          <t>حق تمبر</t>
        </is>
      </c>
      <c r="F26" s="367" t="n"/>
      <c r="G26" s="367" t="n"/>
      <c r="H26" s="367" t="n"/>
      <c r="I26" s="387" t="n"/>
      <c r="J26" s="406">
        <f>data!H28</f>
        <v/>
      </c>
      <c r="K26" s="367" t="n"/>
      <c r="L26" s="387" t="n"/>
      <c r="M26" s="64" t="n"/>
    </row>
    <row r="27" ht="22.5" customHeight="1" s="43">
      <c r="D27" s="62" t="n"/>
      <c r="E27" s="405" t="inlineStr">
        <is>
          <t>سایر</t>
        </is>
      </c>
      <c r="F27" s="367" t="n"/>
      <c r="G27" s="367" t="n"/>
      <c r="H27" s="367" t="n"/>
      <c r="I27" s="387" t="n"/>
      <c r="J27" s="406">
        <f>data!H30</f>
        <v/>
      </c>
      <c r="K27" s="367" t="n"/>
      <c r="L27" s="387" t="n"/>
      <c r="M27" s="64" t="n"/>
    </row>
    <row r="28" ht="22.5" customHeight="1" s="43">
      <c r="D28" s="62" t="n"/>
      <c r="E28" s="405" t="inlineStr">
        <is>
          <t>جرایم</t>
        </is>
      </c>
      <c r="F28" s="367" t="n"/>
      <c r="G28" s="367" t="n"/>
      <c r="H28" s="367" t="n"/>
      <c r="I28" s="387" t="n"/>
      <c r="J28" s="406">
        <f>data!#REF!</f>
        <v/>
      </c>
      <c r="K28" s="367" t="n"/>
      <c r="L28" s="387" t="n"/>
      <c r="M28" s="64" t="n"/>
    </row>
    <row r="29" ht="22.5" customHeight="1" s="43">
      <c r="D29" s="62" t="n"/>
      <c r="E29" s="405" t="inlineStr">
        <is>
          <t>خسارت تاخیر در استرداد (تبصره ماده 243)</t>
        </is>
      </c>
      <c r="F29" s="367" t="n"/>
      <c r="G29" s="367" t="n"/>
      <c r="H29" s="367" t="n"/>
      <c r="I29" s="387" t="n"/>
      <c r="J29" s="406">
        <f>data!H31</f>
        <v/>
      </c>
      <c r="K29" s="367" t="n"/>
      <c r="L29" s="387" t="n"/>
      <c r="M29" s="64" t="n"/>
    </row>
    <row r="30" ht="22.5" customHeight="1" s="43">
      <c r="D30" s="62" t="n"/>
      <c r="E30" s="405" t="inlineStr">
        <is>
          <t>جمع کل</t>
        </is>
      </c>
      <c r="F30" s="367" t="n"/>
      <c r="G30" s="367" t="n"/>
      <c r="H30" s="367" t="n"/>
      <c r="I30" s="387" t="n"/>
      <c r="J30" s="406">
        <f>data!H32</f>
        <v/>
      </c>
      <c r="K30" s="367" t="n"/>
      <c r="L30" s="387" t="n"/>
      <c r="M30" s="64" t="n"/>
    </row>
    <row r="31" ht="14.25" customHeight="1" s="43">
      <c r="D31" s="404">
        <f>"در اجرای مفاد ماده  242 قانون مالیات مستقیم به شرح ذیل مقرر می گردد:"&amp;CHAR(10)&amp;data!D18&amp;" قابل استرداد تشخیص گردیده است علیهذا خواشمند است در اجرای ماده 242 اصلاحی قانون مالیات های مستقیم مصوب 1380/11/27 مبلغ "&amp;TEXT(J30,"#,##0")&amp;" ریال اضافه دریافتی و خسارت تاخیر را از محل وصولی جاری ظرف یک ماه برگشت و به ذینفع پرداخت و نسخه ای  از سند پرداخت را جهت ضبط در پرونده مالیات بر عملکرد امور مالیاتی شهرستان "&amp;data!D8&amp;" ارسال نمایید"</f>
        <v/>
      </c>
      <c r="M31" s="64" t="n"/>
    </row>
    <row r="32" ht="14.25" customHeight="1" s="43">
      <c r="D32" s="62" t="n"/>
      <c r="M32" s="64" t="n"/>
    </row>
    <row r="33" ht="14.25" customHeight="1" s="43">
      <c r="D33" s="62" t="n"/>
      <c r="M33" s="64" t="n"/>
    </row>
    <row r="34" ht="14.25" customHeight="1" s="43">
      <c r="D34" s="62" t="n"/>
      <c r="M34" s="64" t="n"/>
    </row>
    <row r="35" ht="14.25" customHeight="1" s="43">
      <c r="D35" s="62" t="n"/>
      <c r="M35" s="64" t="n"/>
    </row>
    <row r="36" ht="14.25" customHeight="1" s="43">
      <c r="D36" s="62" t="n"/>
      <c r="M36" s="64" t="n"/>
    </row>
    <row r="37" ht="14.25" customHeight="1" s="43">
      <c r="D37" s="62" t="n"/>
      <c r="M37" s="64" t="n"/>
    </row>
    <row r="38" ht="14.25" customHeight="1" s="43">
      <c r="D38" s="62" t="n"/>
      <c r="M38" s="64" t="n"/>
    </row>
    <row r="39" ht="14.25" customHeight="1" s="43">
      <c r="D39" s="62" t="n"/>
      <c r="M39" s="64" t="n"/>
    </row>
    <row r="40">
      <c r="D40" s="62" t="n"/>
      <c r="E40" s="326">
        <f>" رسید بانکی"&amp;"/"&amp;" رسید های بانکی پرداخت مالیات که برای اصلاح یا ابطال به ضمیمه ایفاد می گردد، به شرح زیر است:"</f>
        <v/>
      </c>
      <c r="F40" s="46" t="n"/>
      <c r="G40" s="46" t="n"/>
      <c r="H40" s="46" t="n"/>
      <c r="I40" s="46" t="n"/>
      <c r="J40" s="46" t="n"/>
      <c r="K40" s="46" t="n"/>
      <c r="L40" s="46" t="n"/>
      <c r="M40" s="64" t="n"/>
    </row>
    <row r="41">
      <c r="D41" s="62" t="n"/>
      <c r="M41" s="64" t="n"/>
    </row>
    <row r="42" ht="22.5" customHeight="1" s="43">
      <c r="D42" s="62" t="n"/>
      <c r="E42" s="7" t="inlineStr">
        <is>
          <t>شماره قبض</t>
        </is>
      </c>
      <c r="F42" s="7" t="inlineStr">
        <is>
          <t>تاریخ صدور</t>
        </is>
      </c>
      <c r="G42" s="7" t="inlineStr">
        <is>
          <t>نام شعبه</t>
        </is>
      </c>
      <c r="H42" s="7" t="inlineStr">
        <is>
          <t>شهرستان</t>
        </is>
      </c>
      <c r="I42" s="7" t="inlineStr">
        <is>
          <t>مبلغ مندرج در قبض</t>
        </is>
      </c>
      <c r="J42" s="7" t="inlineStr">
        <is>
          <t>شماره ردیف دفتر درامد</t>
        </is>
      </c>
      <c r="K42" s="266" t="inlineStr">
        <is>
          <t>مبلغ قابل استرداد</t>
        </is>
      </c>
      <c r="L42" s="387" t="n"/>
      <c r="M42" s="64" t="n"/>
    </row>
    <row r="43">
      <c r="D43" s="62" t="n"/>
      <c r="E43" s="3" t="inlineStr">
        <is>
          <t>جدول الف</t>
        </is>
      </c>
      <c r="F43" s="3" t="inlineStr">
        <is>
          <t>جدول الف</t>
        </is>
      </c>
      <c r="G43" s="3" t="inlineStr">
        <is>
          <t>جدول الف</t>
        </is>
      </c>
      <c r="H43" s="3" t="n"/>
      <c r="I43" s="3" t="inlineStr">
        <is>
          <t>جدول الف</t>
        </is>
      </c>
      <c r="J43" s="3" t="n"/>
      <c r="K43" s="395" t="inlineStr">
        <is>
          <t>جدول الف</t>
        </is>
      </c>
      <c r="L43" s="387" t="n"/>
      <c r="M43" s="64" t="n"/>
    </row>
    <row r="44">
      <c r="D44" s="62" t="n"/>
      <c r="M44" s="64" t="n"/>
    </row>
    <row r="45" ht="22.5" customHeight="1" s="43">
      <c r="D45" s="62" t="n"/>
      <c r="E45" s="318" t="inlineStr">
        <is>
          <t>مهر و امضا</t>
        </is>
      </c>
      <c r="J45" s="318" t="inlineStr">
        <is>
          <t>مهر و امضا</t>
        </is>
      </c>
      <c r="M45" s="64" t="n"/>
    </row>
    <row r="46" ht="22.5" customHeight="1" s="43">
      <c r="D46" s="62" t="n"/>
      <c r="E46" s="48">
        <f>" رئیس گروه مالیاتی "&amp;data!D6&amp;" شهرستان "&amp;data!D8</f>
        <v/>
      </c>
      <c r="F46" s="48" t="n"/>
      <c r="G46" s="48" t="n"/>
      <c r="J46" s="318">
        <f>" رئیس امور مالیاتی "&amp;data!D6&amp;" شهرستان "&amp;data!D8</f>
        <v/>
      </c>
      <c r="M46" s="64" t="n"/>
    </row>
    <row r="47" ht="22.5" customHeight="1" s="43">
      <c r="D47" s="62" t="n"/>
      <c r="E47" s="318">
        <f>data!D13</f>
        <v/>
      </c>
      <c r="J47" s="318">
        <f>data!D12</f>
        <v/>
      </c>
      <c r="M47" s="64" t="n"/>
    </row>
    <row r="48">
      <c r="D48" s="47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31" t="n"/>
    </row>
  </sheetData>
  <mergeCells count="39">
    <mergeCell ref="J24:L24"/>
    <mergeCell ref="E45:H45"/>
    <mergeCell ref="F13:L13"/>
    <mergeCell ref="E10:M10"/>
    <mergeCell ref="E24:I24"/>
    <mergeCell ref="J27:L27"/>
    <mergeCell ref="J45:L45"/>
    <mergeCell ref="E40:L41"/>
    <mergeCell ref="J26:L26"/>
    <mergeCell ref="E6:G6"/>
    <mergeCell ref="J25:L25"/>
    <mergeCell ref="E29:I29"/>
    <mergeCell ref="E47:H47"/>
    <mergeCell ref="D13:E13"/>
    <mergeCell ref="E28:I28"/>
    <mergeCell ref="F9:K9"/>
    <mergeCell ref="J47:L47"/>
    <mergeCell ref="E7:G7"/>
    <mergeCell ref="D3:M4"/>
    <mergeCell ref="H6:J7"/>
    <mergeCell ref="I12:J12"/>
    <mergeCell ref="J46:L46"/>
    <mergeCell ref="E30:I30"/>
    <mergeCell ref="K12:L12"/>
    <mergeCell ref="K43:L43"/>
    <mergeCell ref="D14:F14"/>
    <mergeCell ref="K42:L42"/>
    <mergeCell ref="E27:I27"/>
    <mergeCell ref="D19:M23"/>
    <mergeCell ref="E26:I26"/>
    <mergeCell ref="D12:E12"/>
    <mergeCell ref="J29:L29"/>
    <mergeCell ref="J28:L28"/>
    <mergeCell ref="D31:M39"/>
    <mergeCell ref="E8:G8"/>
    <mergeCell ref="E25:I25"/>
    <mergeCell ref="F12:H12"/>
    <mergeCell ref="D16:M16"/>
    <mergeCell ref="J30:L30"/>
  </mergeCells>
  <printOptions horizontalCentered="1" verticalCentered="1"/>
  <pageMargins left="0" right="0" top="0.7480314960629921" bottom="0.7480314960629921" header="0.3149606299212598" footer="0.3149606299212598"/>
  <pageSetup orientation="portrait" paperSize="9" scale="8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codeName="Sheet6">
    <tabColor theme="5" tint="-0.249977111117893"/>
    <outlinePr summaryBelow="1" summaryRight="1"/>
    <pageSetUpPr/>
  </sheetPr>
  <dimension ref="D3:M47"/>
  <sheetViews>
    <sheetView rightToLeft="1" workbookViewId="0">
      <selection activeCell="D8" sqref="D8:M20"/>
    </sheetView>
  </sheetViews>
  <sheetFormatPr baseColWidth="8" defaultRowHeight="15"/>
  <cols>
    <col width="12.25" bestFit="1" customWidth="1" style="43" min="13" max="13"/>
  </cols>
  <sheetData>
    <row r="3" ht="14.25" customHeight="1" s="43">
      <c r="D3" s="9" t="n"/>
      <c r="E3" s="10" t="n"/>
      <c r="F3" s="10" t="n"/>
      <c r="G3" s="10" t="n"/>
      <c r="H3" s="10" t="n"/>
      <c r="I3" s="10" t="n"/>
      <c r="J3" s="10" t="n"/>
      <c r="K3" s="10" t="n"/>
      <c r="L3" s="10" t="n"/>
      <c r="M3" s="11" t="n"/>
    </row>
    <row r="4" ht="14.25" customHeight="1" s="43">
      <c r="D4" s="12" t="n"/>
      <c r="E4" s="13" t="n"/>
      <c r="F4" s="13" t="n"/>
      <c r="G4" s="13" t="n"/>
      <c r="H4" s="13" t="n"/>
      <c r="I4" s="13" t="n"/>
      <c r="J4" s="13" t="n"/>
      <c r="K4" s="13" t="n"/>
      <c r="L4" s="34" t="inlineStr">
        <is>
          <t>شماره</t>
        </is>
      </c>
      <c r="M4" s="15">
        <f>data!M7</f>
        <v/>
      </c>
    </row>
    <row r="5" ht="26.25" customHeight="1" s="43">
      <c r="D5" s="16" t="n"/>
      <c r="E5" s="17" t="n"/>
      <c r="F5" s="17" t="n"/>
      <c r="G5" s="17" t="n"/>
      <c r="H5" s="17" t="n"/>
      <c r="I5" s="17" t="n"/>
      <c r="J5" s="17" t="n"/>
      <c r="K5" s="17" t="n"/>
      <c r="L5" s="34" t="inlineStr">
        <is>
          <t>تاریخ</t>
        </is>
      </c>
      <c r="M5" s="35">
        <f>data!N7</f>
        <v/>
      </c>
    </row>
    <row r="6" ht="26.25" customHeight="1" s="43">
      <c r="D6" s="62" t="n"/>
      <c r="E6" s="13" t="n"/>
      <c r="F6" s="13" t="n"/>
      <c r="G6" s="341" t="inlineStr">
        <is>
          <t>فرم تعهد اداره امور مالیاتی</t>
        </is>
      </c>
      <c r="K6" s="13" t="n"/>
      <c r="L6" s="13" t="n"/>
      <c r="M6" s="20" t="n"/>
    </row>
    <row r="7" ht="26.25" customHeight="1" s="43">
      <c r="D7" s="16" t="n"/>
      <c r="E7" s="17" t="n"/>
      <c r="F7" s="17" t="n"/>
      <c r="G7" s="17" t="n"/>
      <c r="H7" s="17" t="n"/>
      <c r="I7" s="17" t="n"/>
      <c r="J7" s="17" t="n"/>
      <c r="K7" s="17" t="n"/>
      <c r="L7" s="17" t="n"/>
      <c r="M7" s="26" t="n"/>
    </row>
    <row r="8" ht="14.25" customHeight="1" s="43">
      <c r="D8" s="407">
        <f>CHAR(10)&amp;CHAR(10)&amp;" اینجانب "&amp;data!D14&amp;" کارشناس ارشد مالیاتی اداره امور مالیاتی "&amp;data!D6&amp;" شهرستان "&amp;data!D8&amp;" بدینوسیله متعهد می گردم که قبوض به شرح جدول الف(ضمیمه) سال"&amp;data!D9&amp;" مربوط به مودی "&amp;data!D4&amp;" قبلا لحاظ یا مسترد نشده است و چنانچه قبض مذکور در سال های یاد شده از سوی اینجانب مورد سوء استفاده قرار گیرد و از این جهت ضرر و زیانی متوجه دولت شود، کلیه خسارات وارده را جبران نمایم."&amp;CHAR(10)&amp;CHAR(10)&amp;"حسابرس ارشد مالیاتی "&amp;data!D6&amp;" شهرستان "&amp;data!D8&amp;"                         رئیس گروه مالیاتی "&amp;data!D6&amp;" شهرستان "&amp;data!D8</f>
        <v/>
      </c>
      <c r="M8" s="64" t="n"/>
    </row>
    <row r="9" ht="14.25" customHeight="1" s="43">
      <c r="D9" s="62" t="n"/>
      <c r="M9" s="64" t="n"/>
    </row>
    <row r="10" ht="14.25" customHeight="1" s="43">
      <c r="D10" s="62" t="n"/>
      <c r="M10" s="64" t="n"/>
    </row>
    <row r="11" ht="14.25" customHeight="1" s="43">
      <c r="D11" s="62" t="n"/>
      <c r="M11" s="64" t="n"/>
    </row>
    <row r="12" ht="14.25" customHeight="1" s="43">
      <c r="D12" s="62" t="n"/>
      <c r="M12" s="64" t="n"/>
    </row>
    <row r="13" ht="14.25" customHeight="1" s="43">
      <c r="D13" s="62" t="n"/>
      <c r="M13" s="64" t="n"/>
    </row>
    <row r="14" ht="14.25" customHeight="1" s="43">
      <c r="D14" s="62" t="n"/>
      <c r="M14" s="64" t="n"/>
    </row>
    <row r="15" ht="14.25" customHeight="1" s="43">
      <c r="D15" s="62" t="n"/>
      <c r="M15" s="64" t="n"/>
    </row>
    <row r="16" ht="14.25" customHeight="1" s="43">
      <c r="D16" s="62" t="n"/>
      <c r="M16" s="64" t="n"/>
    </row>
    <row r="17" ht="14.25" customHeight="1" s="43">
      <c r="D17" s="62" t="n"/>
      <c r="M17" s="64" t="n"/>
    </row>
    <row r="18" ht="14.25" customHeight="1" s="43">
      <c r="D18" s="62" t="n"/>
      <c r="M18" s="64" t="n"/>
    </row>
    <row r="19" ht="14.25" customHeight="1" s="43">
      <c r="D19" s="62" t="n"/>
      <c r="M19" s="64" t="n"/>
    </row>
    <row r="20" ht="14.25" customHeight="1" s="43">
      <c r="D20" s="62" t="n"/>
      <c r="M20" s="64" t="n"/>
    </row>
    <row r="21" ht="14.25" customHeight="1" s="43">
      <c r="D21" s="21" t="n"/>
      <c r="E21" s="4" t="n"/>
      <c r="F21" s="340">
        <f>data!D14</f>
        <v/>
      </c>
      <c r="H21" s="4" t="n"/>
      <c r="I21" s="4" t="n"/>
      <c r="J21" s="4" t="n"/>
      <c r="K21" s="340">
        <f>data!D13</f>
        <v/>
      </c>
      <c r="M21" s="22" t="n"/>
    </row>
    <row r="22" ht="14.25" customHeight="1" s="43">
      <c r="D22" s="21" t="n"/>
      <c r="E22" s="4" t="n"/>
      <c r="H22" s="4" t="n"/>
      <c r="I22" s="4" t="n"/>
      <c r="J22" s="4" t="n"/>
      <c r="M22" s="22" t="n"/>
    </row>
    <row r="23" ht="14.25" customHeight="1" s="43">
      <c r="D23" s="21" t="n"/>
      <c r="E23" s="4" t="n"/>
      <c r="F23" s="4" t="n"/>
      <c r="G23" s="4" t="n"/>
      <c r="H23" s="4" t="n"/>
      <c r="I23" s="4" t="n"/>
      <c r="J23" s="4" t="n"/>
      <c r="K23" s="4" t="n"/>
      <c r="L23" s="4" t="n"/>
      <c r="M23" s="22" t="n"/>
    </row>
    <row r="24" ht="14.25" customHeight="1" s="43">
      <c r="D24" s="21" t="n"/>
      <c r="E24" s="4" t="n"/>
      <c r="F24" s="4" t="n"/>
      <c r="G24" s="4" t="n"/>
      <c r="H24" s="4" t="n"/>
      <c r="I24" s="4" t="n"/>
      <c r="J24" s="4" t="n"/>
      <c r="K24" s="4" t="n"/>
      <c r="L24" s="4" t="n"/>
      <c r="M24" s="22" t="n"/>
    </row>
    <row r="25" ht="14.25" customHeight="1" s="43">
      <c r="D25" s="21" t="n"/>
      <c r="E25" s="4" t="n"/>
      <c r="F25" s="4" t="n"/>
      <c r="G25" s="344">
        <f>CHAR(10)&amp;CHAR(10)&amp;CHAR(10)&amp;"        رئیس امور مالیاتی "&amp;data!D6&amp;" شهرستان "&amp;data!D8</f>
        <v/>
      </c>
      <c r="L25" s="4" t="n"/>
      <c r="M25" s="22" t="n"/>
    </row>
    <row r="26" ht="14.25" customHeight="1" s="43">
      <c r="D26" s="21" t="n"/>
      <c r="E26" s="4" t="n"/>
      <c r="F26" s="4" t="n"/>
      <c r="L26" s="4" t="n"/>
      <c r="M26" s="22" t="n"/>
    </row>
    <row r="27" ht="14.25" customHeight="1" s="43">
      <c r="D27" s="21" t="n"/>
      <c r="E27" s="4" t="n"/>
      <c r="F27" s="4" t="n"/>
      <c r="L27" s="4" t="n"/>
      <c r="M27" s="22" t="n"/>
    </row>
    <row r="28" ht="14.25" customHeight="1" s="43">
      <c r="D28" s="21" t="n"/>
      <c r="E28" s="4" t="n"/>
      <c r="F28" s="4" t="n"/>
      <c r="G28" s="4" t="n"/>
      <c r="H28" s="340">
        <f>data!D12</f>
        <v/>
      </c>
      <c r="K28" s="4" t="n"/>
      <c r="L28" s="4" t="n"/>
      <c r="M28" s="22" t="n"/>
    </row>
    <row r="29" ht="14.25" customHeight="1" s="43">
      <c r="D29" s="21" t="n"/>
      <c r="E29" s="4" t="n"/>
      <c r="F29" s="4" t="n"/>
      <c r="G29" s="4" t="n"/>
      <c r="K29" s="4" t="n"/>
      <c r="L29" s="4" t="n"/>
      <c r="M29" s="22" t="n"/>
    </row>
    <row r="30" ht="14.25" customHeight="1" s="43">
      <c r="D30" s="21" t="n"/>
      <c r="E30" s="4" t="n"/>
      <c r="F30" s="4" t="n"/>
      <c r="G30" s="4" t="n"/>
      <c r="H30" s="4" t="n"/>
      <c r="I30" s="4" t="n"/>
      <c r="J30" s="4" t="n"/>
      <c r="K30" s="4" t="n"/>
      <c r="L30" s="4" t="n"/>
      <c r="M30" s="22" t="n"/>
    </row>
    <row r="31" ht="14.25" customHeight="1" s="43">
      <c r="D31" s="21" t="n"/>
      <c r="E31" s="4" t="n"/>
      <c r="F31" s="4" t="n"/>
      <c r="G31" s="4" t="n"/>
      <c r="H31" s="4" t="n"/>
      <c r="I31" s="4" t="n"/>
      <c r="J31" s="4" t="n"/>
      <c r="K31" s="4" t="n"/>
      <c r="L31" s="4" t="n"/>
      <c r="M31" s="22" t="n"/>
    </row>
    <row r="32" ht="14.25" customHeight="1" s="43">
      <c r="D32" s="21" t="n"/>
      <c r="E32" s="4" t="n"/>
      <c r="F32" s="4" t="n"/>
      <c r="G32" s="4" t="n"/>
      <c r="H32" s="4" t="n"/>
      <c r="I32" s="4" t="n"/>
      <c r="J32" s="4" t="n"/>
      <c r="K32" s="4" t="n"/>
      <c r="L32" s="4" t="n"/>
      <c r="M32" s="22" t="n"/>
    </row>
    <row r="33" ht="14.25" customHeight="1" s="43">
      <c r="D33" s="21" t="n"/>
      <c r="E33" s="4" t="n"/>
      <c r="F33" s="4" t="n"/>
      <c r="G33" s="4" t="n"/>
      <c r="H33" s="4" t="n"/>
      <c r="I33" s="4" t="n"/>
      <c r="J33" s="4" t="n"/>
      <c r="K33" s="4" t="n"/>
      <c r="L33" s="4" t="n"/>
      <c r="M33" s="22" t="n"/>
    </row>
    <row r="34" ht="14.25" customHeight="1" s="43">
      <c r="D34" s="21" t="n"/>
      <c r="E34" s="4" t="n"/>
      <c r="F34" s="4" t="n"/>
      <c r="G34" s="4" t="n"/>
      <c r="H34" s="4" t="n"/>
      <c r="I34" s="4" t="n"/>
      <c r="J34" s="4" t="n"/>
      <c r="K34" s="4" t="n"/>
      <c r="L34" s="4" t="n"/>
      <c r="M34" s="22" t="n"/>
    </row>
    <row r="35" ht="14.25" customHeight="1" s="43">
      <c r="D35" s="21" t="n"/>
      <c r="E35" s="4" t="n"/>
      <c r="F35" s="4" t="n"/>
      <c r="G35" s="4" t="n"/>
      <c r="H35" s="4" t="n"/>
      <c r="I35" s="4" t="n"/>
      <c r="J35" s="4" t="n"/>
      <c r="K35" s="4" t="n"/>
      <c r="L35" s="4" t="n"/>
      <c r="M35" s="22" t="n"/>
    </row>
    <row r="36" ht="14.25" customHeight="1" s="43">
      <c r="D36" s="21" t="n"/>
      <c r="E36" s="4" t="n"/>
      <c r="F36" s="4" t="n"/>
      <c r="G36" s="4" t="n"/>
      <c r="H36" s="4" t="n"/>
      <c r="I36" s="4" t="n"/>
      <c r="J36" s="4" t="n"/>
      <c r="K36" s="4" t="n"/>
      <c r="L36" s="4" t="n"/>
      <c r="M36" s="22" t="n"/>
    </row>
    <row r="37" ht="14.25" customHeight="1" s="43">
      <c r="D37" s="23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5" t="n"/>
    </row>
    <row r="38">
      <c r="D38" s="27" t="n"/>
      <c r="M38" s="64" t="n"/>
    </row>
    <row r="39">
      <c r="D39" s="62" t="n"/>
      <c r="M39" s="64" t="n"/>
    </row>
    <row r="40">
      <c r="D40" s="62" t="n"/>
      <c r="M40" s="64" t="n"/>
    </row>
    <row r="41">
      <c r="D41" s="47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31" t="n"/>
    </row>
    <row r="42">
      <c r="D42" s="62" t="n"/>
      <c r="M42" s="64" t="n"/>
    </row>
    <row r="43">
      <c r="D43" s="62" t="n"/>
      <c r="M43" s="64" t="n"/>
    </row>
    <row r="44">
      <c r="D44" s="62" t="n"/>
      <c r="M44" s="64" t="n"/>
    </row>
    <row r="45">
      <c r="D45" s="62" t="n"/>
      <c r="M45" s="64" t="n"/>
    </row>
    <row r="46">
      <c r="D46" s="62" t="n"/>
      <c r="M46" s="64" t="n"/>
    </row>
    <row r="47">
      <c r="D47" s="47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31" t="n"/>
    </row>
  </sheetData>
  <mergeCells count="6">
    <mergeCell ref="G6:J6"/>
    <mergeCell ref="K21:L22"/>
    <mergeCell ref="D8:M20"/>
    <mergeCell ref="G25:K27"/>
    <mergeCell ref="F21:G22"/>
    <mergeCell ref="H28:J29"/>
  </mergeCells>
  <printOptions horizontalCentered="1"/>
  <pageMargins left="0" right="0" top="0.7480314960629921" bottom="0.3937007874015748" header="0.3149606299212598" footer="0.3149606299212598"/>
  <pageSetup orientation="portrait" paperSize="9" scale="9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codeName="Sheet9">
    <tabColor theme="8" tint="-0.249977111117893"/>
    <outlinePr summaryBelow="1" summaryRight="1"/>
    <pageSetUpPr/>
  </sheetPr>
  <dimension ref="C2:K30"/>
  <sheetViews>
    <sheetView rightToLeft="1" workbookViewId="0">
      <selection activeCell="F17" sqref="F17"/>
    </sheetView>
  </sheetViews>
  <sheetFormatPr baseColWidth="8" defaultRowHeight="15"/>
  <cols>
    <col width="20.125" customWidth="1" style="43" min="4" max="4"/>
    <col width="13.375" customWidth="1" style="43" min="5" max="5"/>
    <col width="12.625" customWidth="1" style="43" min="6" max="6"/>
    <col width="14" customWidth="1" style="43" min="7" max="7"/>
    <col width="15.375" customWidth="1" style="43" min="8" max="8"/>
    <col width="16.625" bestFit="1" customWidth="1" style="43" min="9" max="9"/>
    <col width="10" bestFit="1" customWidth="1" style="43" min="11" max="11"/>
  </cols>
  <sheetData>
    <row r="2" ht="22.5" customHeight="1" s="43">
      <c r="C2" s="48" t="n"/>
      <c r="D2" s="48" t="n"/>
      <c r="E2" s="48" t="n"/>
      <c r="F2" s="48" t="n"/>
      <c r="G2" s="48" t="n"/>
      <c r="H2" s="48" t="n"/>
      <c r="I2" s="48" t="n"/>
      <c r="J2" s="48" t="n"/>
      <c r="K2" s="48" t="n"/>
    </row>
    <row r="3" ht="20.1" customHeight="1" s="43">
      <c r="C3" s="48" t="n"/>
      <c r="D3" s="75" t="inlineStr">
        <is>
          <t>جمهوری اسلامی ایران</t>
        </is>
      </c>
      <c r="E3" s="402" t="inlineStr">
        <is>
          <t xml:space="preserve">جدول( الف) برگ استرداد موضوع ماده 242 ق0م0م </t>
        </is>
      </c>
      <c r="F3" s="46" t="n"/>
      <c r="G3" s="46" t="n"/>
      <c r="H3" s="59" t="n"/>
      <c r="I3" s="48" t="n"/>
      <c r="J3" s="48" t="inlineStr">
        <is>
          <t>شماره</t>
        </is>
      </c>
      <c r="K3" s="48">
        <f>data!M5</f>
        <v/>
      </c>
    </row>
    <row r="4" ht="20.1" customHeight="1" s="43">
      <c r="C4" s="48" t="n"/>
      <c r="D4" s="75" t="inlineStr">
        <is>
          <t>وزارت امور اقتصادی و دارایی</t>
        </is>
      </c>
      <c r="E4" s="47" t="n"/>
      <c r="F4" s="44" t="n"/>
      <c r="G4" s="44" t="n"/>
      <c r="H4" s="31" t="n"/>
      <c r="I4" s="48" t="n"/>
      <c r="J4" s="48" t="inlineStr">
        <is>
          <t>تاریخ</t>
        </is>
      </c>
      <c r="K4" s="48">
        <f>data!N5</f>
        <v/>
      </c>
    </row>
    <row r="5" ht="20.1" customHeight="1" s="43">
      <c r="C5" s="48" t="n"/>
      <c r="D5" s="75" t="inlineStr">
        <is>
          <t xml:space="preserve">سازمان امور مالیاتی </t>
        </is>
      </c>
      <c r="E5" s="48" t="n"/>
      <c r="F5" s="48" t="n"/>
      <c r="G5" s="48" t="n"/>
      <c r="H5" s="48" t="n"/>
      <c r="I5" s="48" t="n"/>
      <c r="J5" s="48" t="n"/>
      <c r="K5" s="48" t="n"/>
    </row>
    <row r="6" ht="22.5" customHeight="1" s="43">
      <c r="C6" s="48" t="n"/>
      <c r="D6" s="76">
        <f>data!F4</f>
        <v/>
      </c>
      <c r="E6" s="76">
        <f>data!G4</f>
        <v/>
      </c>
      <c r="F6" s="76">
        <f>data!H4</f>
        <v/>
      </c>
      <c r="G6" s="76" t="inlineStr">
        <is>
          <t>نام شعبه</t>
        </is>
      </c>
      <c r="H6" s="76" t="inlineStr">
        <is>
          <t>شهرستان</t>
        </is>
      </c>
      <c r="I6" s="76" t="inlineStr">
        <is>
          <t>مبلغ مندرج در رسید</t>
        </is>
      </c>
      <c r="J6" s="76" t="inlineStr">
        <is>
          <t>شماره درامد</t>
        </is>
      </c>
      <c r="K6" s="48" t="n"/>
    </row>
    <row r="7" ht="22.5" customHeight="1" s="43">
      <c r="C7" s="48" t="n"/>
      <c r="D7" s="76">
        <f>data!F5</f>
        <v/>
      </c>
      <c r="E7" s="76">
        <f>data!G5</f>
        <v/>
      </c>
      <c r="F7" s="76">
        <f>data!H5</f>
        <v/>
      </c>
      <c r="G7" s="76" t="n"/>
      <c r="H7" s="76" t="n"/>
      <c r="I7" s="77">
        <f>data!J5</f>
        <v/>
      </c>
      <c r="J7" s="76" t="n"/>
      <c r="K7" s="48" t="n"/>
    </row>
    <row r="8" ht="22.5" customHeight="1" s="43">
      <c r="C8" s="48" t="n"/>
      <c r="D8" s="76">
        <f>data!F6</f>
        <v/>
      </c>
      <c r="E8" s="76">
        <f>data!G6</f>
        <v/>
      </c>
      <c r="F8" s="76">
        <f>data!H6</f>
        <v/>
      </c>
      <c r="G8" s="76" t="n"/>
      <c r="H8" s="76" t="n"/>
      <c r="I8" s="77">
        <f>data!J6</f>
        <v/>
      </c>
      <c r="J8" s="76" t="n"/>
      <c r="K8" s="48" t="n"/>
    </row>
    <row r="9" ht="22.5" customHeight="1" s="43">
      <c r="C9" s="48" t="n"/>
      <c r="D9" s="76">
        <f>data!F7</f>
        <v/>
      </c>
      <c r="E9" s="76">
        <f>data!G7</f>
        <v/>
      </c>
      <c r="F9" s="76" t="n"/>
      <c r="G9" s="76" t="n"/>
      <c r="H9" s="76" t="n"/>
      <c r="I9" s="77">
        <f>data!J7</f>
        <v/>
      </c>
      <c r="J9" s="76" t="n"/>
      <c r="K9" s="48" t="n"/>
    </row>
    <row r="10" ht="22.5" customHeight="1" s="43">
      <c r="C10" s="48" t="n"/>
      <c r="D10" s="76">
        <f>data!F8</f>
        <v/>
      </c>
      <c r="E10" s="76">
        <f>data!G8</f>
        <v/>
      </c>
      <c r="F10" s="76" t="n"/>
      <c r="G10" s="76" t="n"/>
      <c r="H10" s="76" t="n"/>
      <c r="I10" s="77">
        <f>data!J8</f>
        <v/>
      </c>
      <c r="J10" s="76" t="n"/>
      <c r="K10" s="48" t="n"/>
    </row>
    <row r="11" ht="22.5" customHeight="1" s="43">
      <c r="C11" s="48" t="n"/>
      <c r="D11" s="76">
        <f>data!F9</f>
        <v/>
      </c>
      <c r="E11" s="76">
        <f>data!G9</f>
        <v/>
      </c>
      <c r="F11" s="76" t="n"/>
      <c r="G11" s="76" t="n"/>
      <c r="H11" s="76" t="n"/>
      <c r="I11" s="77">
        <f>data!J9</f>
        <v/>
      </c>
      <c r="J11" s="76" t="n"/>
      <c r="K11" s="48" t="n"/>
    </row>
    <row r="12" ht="22.5" customHeight="1" s="43">
      <c r="C12" s="48" t="n"/>
      <c r="D12" s="76">
        <f>data!F10</f>
        <v/>
      </c>
      <c r="E12" s="76">
        <f>data!G10</f>
        <v/>
      </c>
      <c r="F12" s="76" t="n"/>
      <c r="G12" s="76" t="n"/>
      <c r="H12" s="76" t="n"/>
      <c r="I12" s="77">
        <f>data!J10</f>
        <v/>
      </c>
      <c r="J12" s="76" t="n"/>
      <c r="K12" s="48" t="n"/>
    </row>
    <row r="13" ht="22.5" customHeight="1" s="43">
      <c r="C13" s="48" t="n"/>
      <c r="D13" s="76">
        <f>data!F11</f>
        <v/>
      </c>
      <c r="E13" s="76">
        <f>data!G11</f>
        <v/>
      </c>
      <c r="F13" s="76" t="n"/>
      <c r="G13" s="76" t="n"/>
      <c r="H13" s="76" t="n"/>
      <c r="I13" s="77">
        <f>data!J11</f>
        <v/>
      </c>
      <c r="J13" s="76" t="n"/>
      <c r="K13" s="48" t="n"/>
    </row>
    <row r="14" ht="22.5" customHeight="1" s="43">
      <c r="C14" s="48" t="n"/>
      <c r="D14" s="76">
        <f>data!F12</f>
        <v/>
      </c>
      <c r="E14" s="76">
        <f>data!G12</f>
        <v/>
      </c>
      <c r="F14" s="76" t="n"/>
      <c r="G14" s="76" t="n"/>
      <c r="H14" s="76" t="n"/>
      <c r="I14" s="77">
        <f>data!J12</f>
        <v/>
      </c>
      <c r="J14" s="76" t="n"/>
      <c r="K14" s="48" t="n"/>
    </row>
    <row r="15" ht="22.5" customHeight="1" s="43">
      <c r="C15" s="48" t="n"/>
      <c r="D15" s="76">
        <f>data!F13</f>
        <v/>
      </c>
      <c r="E15" s="76">
        <f>data!G13</f>
        <v/>
      </c>
      <c r="F15" s="76" t="n"/>
      <c r="G15" s="76" t="n"/>
      <c r="H15" s="76" t="n"/>
      <c r="I15" s="77">
        <f>data!J13</f>
        <v/>
      </c>
      <c r="J15" s="76" t="n"/>
      <c r="K15" s="48" t="n"/>
    </row>
    <row r="16" ht="22.5" customHeight="1" s="43">
      <c r="C16" s="48" t="n"/>
      <c r="D16" s="76">
        <f>data!F14</f>
        <v/>
      </c>
      <c r="E16" s="76">
        <f>data!G14</f>
        <v/>
      </c>
      <c r="F16" s="76" t="n"/>
      <c r="G16" s="76" t="n"/>
      <c r="H16" s="76" t="n"/>
      <c r="I16" s="77">
        <f>data!J14</f>
        <v/>
      </c>
      <c r="J16" s="76" t="n"/>
      <c r="K16" s="48" t="n"/>
    </row>
    <row r="17" ht="22.5" customHeight="1" s="43">
      <c r="C17" s="48" t="n"/>
      <c r="D17" s="76">
        <f>data!F15</f>
        <v/>
      </c>
      <c r="E17" s="76">
        <f>data!G15</f>
        <v/>
      </c>
      <c r="F17" s="76" t="n"/>
      <c r="G17" s="76" t="n"/>
      <c r="H17" s="76" t="n"/>
      <c r="I17" s="77">
        <f>data!J15</f>
        <v/>
      </c>
      <c r="J17" s="76" t="n"/>
      <c r="K17" s="48" t="n"/>
    </row>
    <row r="18" ht="22.5" customHeight="1" s="43">
      <c r="C18" s="48" t="n"/>
      <c r="D18" s="76">
        <f>data!F16</f>
        <v/>
      </c>
      <c r="E18" s="76">
        <f>data!G16</f>
        <v/>
      </c>
      <c r="F18" s="76" t="n"/>
      <c r="G18" s="76" t="n"/>
      <c r="H18" s="76" t="n"/>
      <c r="I18" s="77">
        <f>data!J16</f>
        <v/>
      </c>
      <c r="J18" s="76" t="n"/>
      <c r="K18" s="48" t="n"/>
    </row>
    <row r="19" ht="22.5" customHeight="1" s="43">
      <c r="C19" s="48" t="n"/>
      <c r="D19" s="76">
        <f>data!F17</f>
        <v/>
      </c>
      <c r="E19" s="76">
        <f>data!G17</f>
        <v/>
      </c>
      <c r="F19" s="76" t="n"/>
      <c r="G19" s="76" t="n"/>
      <c r="H19" s="76" t="n"/>
      <c r="I19" s="77">
        <f>data!J17</f>
        <v/>
      </c>
      <c r="J19" s="76" t="n"/>
      <c r="K19" s="48" t="n"/>
    </row>
    <row r="20" ht="22.5" customHeight="1" s="43">
      <c r="C20" s="48" t="n"/>
      <c r="D20" s="76">
        <f>data!F18</f>
        <v/>
      </c>
      <c r="E20" s="76">
        <f>data!G18</f>
        <v/>
      </c>
      <c r="F20" s="76" t="n"/>
      <c r="G20" s="76" t="n"/>
      <c r="H20" s="76" t="n"/>
      <c r="I20" s="76" t="n"/>
      <c r="J20" s="76" t="n"/>
      <c r="K20" s="48" t="n"/>
    </row>
    <row r="21" ht="22.5" customHeight="1" s="43"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</row>
    <row r="22" ht="22.5" customHeight="1" s="43">
      <c r="C22" s="345">
        <f>" رئیس گروه مالیاتی شهرستان "&amp;data!D8&amp;CHAR(10)&amp;data!D13</f>
        <v/>
      </c>
      <c r="F22" s="48" t="n"/>
      <c r="G22" s="48" t="n"/>
      <c r="H22" s="345">
        <f>" رئیس امور مالیاتی شهرستان "&amp;data!D8&amp;CHAR(10)&amp;data!D12</f>
        <v/>
      </c>
      <c r="K22" s="48" t="n"/>
    </row>
    <row r="23" ht="22.5" customHeight="1" s="43">
      <c r="F23" s="48" t="n"/>
      <c r="G23" s="48" t="n"/>
      <c r="K23" s="48" t="n"/>
    </row>
    <row r="24" ht="22.5" customHeight="1" s="43">
      <c r="F24" s="48" t="n"/>
      <c r="G24" s="48" t="n"/>
      <c r="K24" s="48" t="n"/>
    </row>
    <row r="25" ht="22.5" customHeight="1" s="43"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</row>
    <row r="26" ht="22.5" customHeight="1" s="43"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</row>
    <row r="27" ht="22.5" customHeight="1" s="43"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</row>
    <row r="28" ht="22.5" customHeight="1" s="43"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</row>
    <row r="29" ht="22.5" customHeight="1" s="43"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</row>
    <row r="30" ht="22.5" customHeight="1" s="43"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</row>
  </sheetData>
  <mergeCells count="3">
    <mergeCell ref="E3:H4"/>
    <mergeCell ref="C22:E24"/>
    <mergeCell ref="H22:J24"/>
  </mergeCells>
  <printOptions horizontalCentered="1"/>
  <pageMargins left="0" right="0" top="0.7480314960629921" bottom="0.7480314960629921" header="0.3149606299212598" footer="0.3149606299212598"/>
  <pageSetup orientation="landscape" paperSize="9" scale="9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امین نوشادی</dc:creator>
  <dcterms:created xmlns:dcterms="http://purl.org/dc/terms/" xmlns:xsi="http://www.w3.org/2001/XMLSchema-instance" xsi:type="dcterms:W3CDTF">2026-06-04T07:00:47Z</dcterms:created>
  <dcterms:modified xmlns:dcterms="http://purl.org/dc/terms/" xmlns:xsi="http://www.w3.org/2001/XMLSchema-instance" xsi:type="dcterms:W3CDTF">2026-09-07T08:20:45Z</dcterms:modified>
  <cp:lastModifiedBy>صادق مرادی</cp:lastModifiedBy>
  <cp:lastPrinted>2026-06-13T05:08:49Z</cp:lastPrinted>
</cp:coreProperties>
</file>