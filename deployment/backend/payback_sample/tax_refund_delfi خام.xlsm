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E757BCB4-07E6-AE0B-56E0-F0EEF7A6E26C}"/>
  <workbookPr codeName="ThisWorkbook" defaultThemeVersion="166925"/>
  <mc:AlternateContent xmlns:mc="http://schemas.openxmlformats.org/markup-compatibility/2006">
    <mc:Choice Requires="x15">
      <x15ac:absPath xmlns:x15ac="http://schemas.microsoft.com/office/spreadsheetml/2010/11/ac" url="D:\Users\1751381651\Desktop\استرداد\حقوق\"/>
    </mc:Choice>
  </mc:AlternateContent>
  <xr:revisionPtr revIDLastSave="0" documentId="13_ncr:1_{370C0BF5-F25A-4EB5-A3BC-14CAFE021247}" xr6:coauthVersionLast="47" xr6:coauthVersionMax="47" xr10:uidLastSave="{00000000-0000-0000-0000-000000000000}"/>
  <bookViews>
    <workbookView xWindow="-120" yWindow="-120" windowWidth="29040" windowHeight="15840" xr2:uid="{FEB9D1C6-38FF-4EA7-BFC7-82D69C9D2678}"/>
  </bookViews>
  <sheets>
    <sheet name="data" sheetId="1" r:id="rId1"/>
    <sheet name="cheklist" sheetId="7" r:id="rId2"/>
    <sheet name="form1" sheetId="2" r:id="rId3"/>
    <sheet name="form2" sheetId="3" r:id="rId4"/>
    <sheet name="form3" sheetId="6" r:id="rId5"/>
    <sheet name="form4" sheetId="8" r:id="rId6"/>
    <sheet name="form5" sheetId="4" r:id="rId7"/>
    <sheet name="form6" sheetId="5" r:id="rId8"/>
    <sheet name="form7" sheetId="9" r:id="rId9"/>
  </sheets>
  <definedNames>
    <definedName name="_xlnm.Print_Area" localSheetId="1">cheklist!$B$2:$S$35</definedName>
    <definedName name="_xlnm.Print_Area" localSheetId="2">form1!$C$1:$N$37</definedName>
    <definedName name="_xlnm.Print_Area" localSheetId="3">form2!$D$3:$M$45</definedName>
    <definedName name="_xlnm.Print_Area" localSheetId="4">form3!$D$2:$O$53</definedName>
    <definedName name="_xlnm.Print_Area" localSheetId="5">form4!$E$2:$O$60</definedName>
    <definedName name="_xlnm.Print_Area" localSheetId="6">form5!$D$6:$M$49</definedName>
    <definedName name="_xlnm.Print_Area" localSheetId="7">form6!$D$3:$M$37</definedName>
    <definedName name="_xlnm.Print_Area" localSheetId="8">form7!$B$2:$L$24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 i="8" l="1"/>
  <c r="E5" i="6"/>
  <c r="N32" i="7" l="1"/>
  <c r="E32" i="7"/>
  <c r="H22" i="9"/>
  <c r="L53" i="8"/>
  <c r="C22" i="9"/>
  <c r="L41" i="8"/>
  <c r="K4" i="9"/>
  <c r="K3" i="9"/>
  <c r="E8" i="9"/>
  <c r="E9" i="9"/>
  <c r="E10" i="9"/>
  <c r="E11" i="9"/>
  <c r="E12" i="9"/>
  <c r="E13" i="9"/>
  <c r="E14" i="9"/>
  <c r="E15" i="9"/>
  <c r="E16" i="9"/>
  <c r="E17" i="9"/>
  <c r="E18" i="9"/>
  <c r="E19" i="9"/>
  <c r="I8" i="9"/>
  <c r="I9" i="9"/>
  <c r="I10" i="9"/>
  <c r="I11" i="9"/>
  <c r="I12" i="9"/>
  <c r="I13" i="9"/>
  <c r="I14" i="9"/>
  <c r="I15" i="9"/>
  <c r="I16" i="9"/>
  <c r="I17" i="9"/>
  <c r="I18" i="9"/>
  <c r="I19" i="9"/>
  <c r="I7" i="9"/>
  <c r="D6" i="9"/>
  <c r="E6" i="9"/>
  <c r="F6" i="9"/>
  <c r="D7" i="9"/>
  <c r="E7" i="9"/>
  <c r="F7" i="9"/>
  <c r="D8" i="9"/>
  <c r="F8" i="9"/>
  <c r="D9" i="9"/>
  <c r="D10" i="9"/>
  <c r="D11" i="9"/>
  <c r="D12" i="9"/>
  <c r="D13" i="9"/>
  <c r="D14" i="9"/>
  <c r="D15" i="9"/>
  <c r="D16" i="9"/>
  <c r="D17" i="9"/>
  <c r="D18" i="9"/>
  <c r="D19" i="9"/>
  <c r="E20" i="9"/>
  <c r="E42" i="3"/>
  <c r="D20" i="6"/>
  <c r="J18" i="1"/>
  <c r="E60" i="1" s="1"/>
  <c r="E56" i="1"/>
  <c r="E50" i="1"/>
  <c r="F18" i="1"/>
  <c r="D20" i="9" s="1"/>
  <c r="AJ1" i="1"/>
  <c r="M8" i="4"/>
  <c r="M7" i="4"/>
  <c r="M6" i="4"/>
  <c r="J26" i="4"/>
  <c r="J27" i="4"/>
  <c r="J28" i="4"/>
  <c r="J29" i="4"/>
  <c r="O5" i="6"/>
  <c r="O4" i="6"/>
  <c r="D5" i="3"/>
  <c r="E49" i="6"/>
  <c r="L27" i="8"/>
  <c r="D17" i="6"/>
  <c r="D13" i="6"/>
  <c r="D16" i="4" l="1"/>
  <c r="E62" i="1"/>
  <c r="G11" i="6"/>
  <c r="G10" i="6"/>
  <c r="G9" i="6"/>
  <c r="G8" i="6"/>
  <c r="H27" i="1" l="1"/>
  <c r="E21" i="8"/>
  <c r="D24" i="6"/>
  <c r="E33" i="8"/>
  <c r="E45" i="8"/>
  <c r="E17" i="8"/>
  <c r="E13" i="8"/>
  <c r="E9" i="8"/>
  <c r="E43" i="8"/>
  <c r="E31" i="8"/>
  <c r="O3" i="8"/>
  <c r="O2" i="8"/>
  <c r="M3" i="2"/>
  <c r="M2" i="2"/>
  <c r="D8" i="5"/>
  <c r="H18" i="4"/>
  <c r="H28" i="5"/>
  <c r="G25" i="5"/>
  <c r="K21" i="5"/>
  <c r="F21" i="5"/>
  <c r="M5" i="5"/>
  <c r="M4" i="5"/>
  <c r="E46" i="4"/>
  <c r="J46" i="4"/>
  <c r="J47" i="4"/>
  <c r="E47" i="4"/>
  <c r="E40" i="4"/>
  <c r="D19" i="4"/>
  <c r="K14" i="4"/>
  <c r="I14" i="4"/>
  <c r="G14" i="4"/>
  <c r="F13" i="4"/>
  <c r="K12" i="4"/>
  <c r="F12" i="4"/>
  <c r="J25" i="4" l="1"/>
  <c r="H32" i="1"/>
  <c r="D8" i="2" s="1"/>
  <c r="I18" i="4"/>
  <c r="J30" i="4" l="1"/>
  <c r="D31" i="4" s="1"/>
</calcChain>
</file>

<file path=xl/sharedStrings.xml><?xml version="1.0" encoding="utf-8"?>
<sst xmlns="http://schemas.openxmlformats.org/spreadsheetml/2006/main" count="189" uniqueCount="143">
  <si>
    <t>شماره اقتصادی</t>
  </si>
  <si>
    <t>سال استرداد</t>
  </si>
  <si>
    <t>دوره</t>
  </si>
  <si>
    <t>عنوان مودی</t>
  </si>
  <si>
    <t>واحد مالیاتی</t>
  </si>
  <si>
    <t>شهرستان</t>
  </si>
  <si>
    <t>استان</t>
  </si>
  <si>
    <t>رئیس امور</t>
  </si>
  <si>
    <t>رئیس گروه</t>
  </si>
  <si>
    <t>کارشناس ارشد</t>
  </si>
  <si>
    <t>منبع مالیاتی</t>
  </si>
  <si>
    <t>اطلاعات عمومی</t>
  </si>
  <si>
    <t>اطلاعات قبوض</t>
  </si>
  <si>
    <t>شماره قبض</t>
  </si>
  <si>
    <t>تاریخ صدور</t>
  </si>
  <si>
    <t>تاریخ وصول</t>
  </si>
  <si>
    <t>نامه ها</t>
  </si>
  <si>
    <t>عنوان نامه</t>
  </si>
  <si>
    <t>شماره</t>
  </si>
  <si>
    <t xml:space="preserve">مورخ </t>
  </si>
  <si>
    <t>بانک مودی</t>
  </si>
  <si>
    <t>شماره شبا</t>
  </si>
  <si>
    <t>خوزستان</t>
  </si>
  <si>
    <t>اهواز</t>
  </si>
  <si>
    <t>عملکرد</t>
  </si>
  <si>
    <t>غلامرضا اسلامی</t>
  </si>
  <si>
    <t>نامه ذیحسابی</t>
  </si>
  <si>
    <t>نشانی مودی</t>
  </si>
  <si>
    <t>جمهوری اسلامی ایران</t>
  </si>
  <si>
    <t>وزرات امور اقتصاد و دارایی</t>
  </si>
  <si>
    <t>سازمان امور مالیاتی کشور</t>
  </si>
  <si>
    <t>سازمان امور مالیاتی کشور- موضوع ماده 242 اصلاحی قانونی مالاتی های مستقیم مصوب 1380/11/27</t>
  </si>
  <si>
    <t>مودی:</t>
  </si>
  <si>
    <t>شماره اقتصادی:</t>
  </si>
  <si>
    <t>نشانی:</t>
  </si>
  <si>
    <t>منبع مالیاتی:</t>
  </si>
  <si>
    <t>عملکرد سال:</t>
  </si>
  <si>
    <t>دوره:</t>
  </si>
  <si>
    <t>نام شعبه</t>
  </si>
  <si>
    <t>مبلغ مندرج در قبض</t>
  </si>
  <si>
    <t>شماره ردیف دفتر درامد</t>
  </si>
  <si>
    <t>ملاحضات</t>
  </si>
  <si>
    <t>گزارش توجیه استرداد اداره</t>
  </si>
  <si>
    <t>علت استرداد</t>
  </si>
  <si>
    <t>شماره:</t>
  </si>
  <si>
    <t>تاریخ</t>
  </si>
  <si>
    <t>شماره پرونده</t>
  </si>
  <si>
    <t>شرح مبالغ قابل استرداد</t>
  </si>
  <si>
    <t>مبلغ به ریال</t>
  </si>
  <si>
    <t>اصل مالیات</t>
  </si>
  <si>
    <t>حق تمبر</t>
  </si>
  <si>
    <t>سایر</t>
  </si>
  <si>
    <t>جرایم</t>
  </si>
  <si>
    <t>جمع کل</t>
  </si>
  <si>
    <t>مبلغ قابل استرداد</t>
  </si>
  <si>
    <t>مهر و امضا</t>
  </si>
  <si>
    <t>خسارت تاخیر در استرداد (تبصره ماده 243)</t>
  </si>
  <si>
    <t>مبلغ قبض</t>
  </si>
  <si>
    <t>جمع</t>
  </si>
  <si>
    <t>تعهد اداره مالیاتی</t>
  </si>
  <si>
    <t>فرم تعهد اداره امور مالیاتی</t>
  </si>
  <si>
    <t>ردیف</t>
  </si>
  <si>
    <t>جدول الف</t>
  </si>
  <si>
    <t>عملکرد منتهی به:</t>
  </si>
  <si>
    <t>نشانی قانونی شخص حقوقی/حقیقی:</t>
  </si>
  <si>
    <t>وزارت امور اقتصادی و دارایی</t>
  </si>
  <si>
    <t>با توجه به گزارش فوق، اضافه پرداختی مؤدی در عملکرد سال مورد گزارش بعد از کسر موارد زیر به وی قابل استرداد خواهد بود</t>
  </si>
  <si>
    <t>وصول و اجرا</t>
  </si>
  <si>
    <t>مبلغ بدهی</t>
  </si>
  <si>
    <t>سال</t>
  </si>
  <si>
    <t>توضیحات</t>
  </si>
  <si>
    <t>واحد مالیاتی تکلیفی</t>
  </si>
  <si>
    <t>برگ استرداد مالیات اضافه دریافتی</t>
  </si>
  <si>
    <t>درخواست استرداد مودی</t>
  </si>
  <si>
    <t>مودی اظهار نامه تسلیم نموده؟</t>
  </si>
  <si>
    <t>بله</t>
  </si>
  <si>
    <t>خیر</t>
  </si>
  <si>
    <t>شماره اظهارنامه</t>
  </si>
  <si>
    <t>تاریخ تسلیم اظهارنامه</t>
  </si>
  <si>
    <t>نحوه قطعی شدن پرونده</t>
  </si>
  <si>
    <t>قبول زیان</t>
  </si>
  <si>
    <t>رسیدگی به دفار</t>
  </si>
  <si>
    <t>تایید اظهارنامه</t>
  </si>
  <si>
    <t>علی الراس</t>
  </si>
  <si>
    <t>معافیت مالیاتی</t>
  </si>
  <si>
    <t>شماره برگ قطعی</t>
  </si>
  <si>
    <t>تاریخ برگ قطعی</t>
  </si>
  <si>
    <t>درامد تشخیصی قبل از کسر مالیات</t>
  </si>
  <si>
    <t xml:space="preserve">جمع معافیتها و بخشودگی </t>
  </si>
  <si>
    <t>مانده مشمول</t>
  </si>
  <si>
    <t>مالیات تشخیصی</t>
  </si>
  <si>
    <t>اضافه می گردد جرایم غیر قابل بخشش</t>
  </si>
  <si>
    <t>کسر می شود جایزه خوش حسابی</t>
  </si>
  <si>
    <t>مازاد پرداختی</t>
  </si>
  <si>
    <t>کسر می شود به شرح جدول الف</t>
  </si>
  <si>
    <t>استعلام از حوزه های مختلف</t>
  </si>
  <si>
    <t>برگ استرداد اصلی</t>
  </si>
  <si>
    <t>ارزش افزوده</t>
  </si>
  <si>
    <t>حقوق</t>
  </si>
  <si>
    <t xml:space="preserve">چك ليست كنترل اسناد استردادي اداره كل امورمالياتي </t>
  </si>
  <si>
    <t>رديف</t>
  </si>
  <si>
    <t>شرح</t>
  </si>
  <si>
    <t>رعايت</t>
  </si>
  <si>
    <t>عدم رعايت</t>
  </si>
  <si>
    <t>نامه استرداد</t>
  </si>
  <si>
    <t xml:space="preserve">            ثبت شماره دبير خانه وتاريخ مندرج در برگ استرداد درنامه مدير كل(نامه استرداد) </t>
  </si>
  <si>
    <r>
      <t xml:space="preserve">ثبت مبلغ بدهي مالياتي (( </t>
    </r>
    <r>
      <rPr>
        <b/>
        <u/>
        <sz val="11"/>
        <color theme="1"/>
        <rFont val="B Mitra"/>
        <charset val="178"/>
      </rPr>
      <t>تكليفي</t>
    </r>
    <r>
      <rPr>
        <b/>
        <sz val="11"/>
        <color theme="1"/>
        <rFont val="B Mitra"/>
        <charset val="178"/>
      </rPr>
      <t xml:space="preserve"> موضوع ماده 104 ق.م.م ، </t>
    </r>
    <r>
      <rPr>
        <b/>
        <u/>
        <sz val="11"/>
        <color theme="1"/>
        <rFont val="B Mitra"/>
        <charset val="178"/>
      </rPr>
      <t xml:space="preserve">حقوق </t>
    </r>
    <r>
      <rPr>
        <b/>
        <sz val="11"/>
        <color theme="1"/>
        <rFont val="B Mitra"/>
        <charset val="178"/>
      </rPr>
      <t xml:space="preserve">، </t>
    </r>
    <r>
      <rPr>
        <b/>
        <u/>
        <sz val="11"/>
        <color theme="1"/>
        <rFont val="B Mitra"/>
        <charset val="178"/>
      </rPr>
      <t>ماليات و عوارض ارزش افزوده</t>
    </r>
    <r>
      <rPr>
        <b/>
        <sz val="11"/>
        <color theme="1"/>
        <rFont val="B Mitra"/>
        <charset val="178"/>
      </rPr>
      <t xml:space="preserve"> مودي در نامه مدير كل ودرج شماره حساب مربوطه))</t>
    </r>
  </si>
  <si>
    <t>برگ استرداد</t>
  </si>
  <si>
    <t>درج منبع مالياتي درفرم استرداد مالياتي (باتوجه به منابع مندرج درقبوض مالياتي)</t>
  </si>
  <si>
    <t>تعیین جمع ماليات پرداختي مودي دربرگ استرداد مالياتي(با توجه به فرم تسهيم وسهم هر شهرستان)</t>
  </si>
  <si>
    <t>درج قبوض ماليات پرداختي مودي كه ريز آن در جدول ( الف ) مي باشد</t>
  </si>
  <si>
    <t>ثبت شماره وتاريخ گزارش استرداد دربرگ استرداد</t>
  </si>
  <si>
    <t>درج مبلغ به حروف دربرگ استرداد</t>
  </si>
  <si>
    <t>عدم استفاده از لاك غلط گير و مخدوش بودن سند استرداد</t>
  </si>
  <si>
    <t>درج جمع قبوض ماليات پرداختي مودي دربرگ استرداد مالياتي جدول( ب)</t>
  </si>
  <si>
    <t>مشخص كردن قبوض مالياتي كه جهت استرداد باطل مي گردد درجدول ( الف )</t>
  </si>
  <si>
    <t>گزارش استرداد</t>
  </si>
  <si>
    <t>تعیین وضعيت بدهي مودي مالياتي درقسمت مربوط به اداره وصول واجرادرفرم گزارش استرداد</t>
  </si>
  <si>
    <t>الف )</t>
  </si>
  <si>
    <t>مهر وامضاء نمودن  توسط کارشناس ارشد مربوطه اداره وصول واجرا</t>
  </si>
  <si>
    <t>ب )</t>
  </si>
  <si>
    <t>درصورت تائيد توسط كارشناس ارشدمالياتي به شيوه زير اقدام فرمايند:</t>
  </si>
  <si>
    <t>(ب-1 )</t>
  </si>
  <si>
    <r>
      <t xml:space="preserve">    دريافت گواهي وضعيت مودي مالياتي ازسيستم اتوماسيون وصول واجرا كه درآن </t>
    </r>
    <r>
      <rPr>
        <b/>
        <sz val="11"/>
        <color theme="1"/>
        <rFont val="B Titr"/>
        <charset val="178"/>
      </rPr>
      <t xml:space="preserve">مشخصات مودي مالياتي ثبت گرديده </t>
    </r>
    <r>
      <rPr>
        <b/>
        <sz val="11"/>
        <color theme="1"/>
        <rFont val="B Mitra"/>
        <charset val="178"/>
      </rPr>
      <t>وتائيد آن توسط كارشناس ارشد مالياتي مربوطه</t>
    </r>
  </si>
  <si>
    <t>(ب -2)</t>
  </si>
  <si>
    <r>
      <t xml:space="preserve">   درج جمله: (</t>
    </r>
    <r>
      <rPr>
        <b/>
        <sz val="11"/>
        <color theme="1"/>
        <rFont val="B Titr"/>
        <charset val="178"/>
      </rPr>
      <t>گواهي اتوماسيون اداره وصول واجرا ضميمه مي باشد</t>
    </r>
    <r>
      <rPr>
        <b/>
        <sz val="11"/>
        <color theme="1"/>
        <rFont val="B Mitra"/>
        <charset val="178"/>
      </rPr>
      <t xml:space="preserve"> ) در فرم گزارش استرداد درقسمت وصول واجرا وتائيد آن توسط كارشناس ارشدمالياتي مربوطه</t>
    </r>
  </si>
  <si>
    <t xml:space="preserve">درج سال عملكرد تحت رسيدگي دركليه قسمتهاي فرم گزارش استرداد </t>
  </si>
  <si>
    <t>تفكيك بدهي ماليات وعوارض ارزش افزوده ((مشخص بودن ميزان كسر هر آيتم از مبلغ استردادي درصورت  داشتن بدهي مودي))</t>
  </si>
  <si>
    <t>ضمائم</t>
  </si>
  <si>
    <r>
      <t>ضميمه بودن</t>
    </r>
    <r>
      <rPr>
        <b/>
        <sz val="11"/>
        <color theme="1"/>
        <rFont val="B Tir"/>
        <charset val="178"/>
      </rPr>
      <t xml:space="preserve"> </t>
    </r>
    <r>
      <rPr>
        <b/>
        <sz val="11"/>
        <color theme="1"/>
        <rFont val="B Titr"/>
        <charset val="178"/>
      </rPr>
      <t>اصل قبوض</t>
    </r>
    <r>
      <rPr>
        <b/>
        <sz val="11"/>
        <color theme="1"/>
        <rFont val="B Mitra"/>
        <charset val="178"/>
      </rPr>
      <t xml:space="preserve"> ماليات پرداختي در حد مورد نياز جهت استرداد</t>
    </r>
  </si>
  <si>
    <t>12-1</t>
  </si>
  <si>
    <r>
      <t xml:space="preserve">درصورت </t>
    </r>
    <r>
      <rPr>
        <b/>
        <sz val="11"/>
        <color theme="1"/>
        <rFont val="B Titr"/>
        <charset val="178"/>
      </rPr>
      <t>مفقود ي قبوض ماليات</t>
    </r>
    <r>
      <rPr>
        <b/>
        <sz val="11"/>
        <color theme="1"/>
        <rFont val="B Mitra"/>
        <charset val="178"/>
      </rPr>
      <t xml:space="preserve"> :</t>
    </r>
  </si>
  <si>
    <t>الف)</t>
  </si>
  <si>
    <r>
      <rPr>
        <b/>
        <sz val="11"/>
        <color theme="1"/>
        <rFont val="B Titr"/>
        <charset val="178"/>
      </rPr>
      <t>تعهد نامه</t>
    </r>
    <r>
      <rPr>
        <b/>
        <sz val="11"/>
        <color theme="1"/>
        <rFont val="B Mitra"/>
        <charset val="178"/>
      </rPr>
      <t xml:space="preserve"> ازمسئولين مالياتي در صورت مفقودي نسخه پرونده مالياتي</t>
    </r>
  </si>
  <si>
    <t>ب)</t>
  </si>
  <si>
    <r>
      <rPr>
        <b/>
        <sz val="11"/>
        <color theme="1"/>
        <rFont val="B Titr"/>
        <charset val="178"/>
      </rPr>
      <t>اقرار نامه ثبتي</t>
    </r>
    <r>
      <rPr>
        <b/>
        <sz val="11"/>
        <color theme="1"/>
        <rFont val="B Mitra"/>
        <charset val="178"/>
      </rPr>
      <t xml:space="preserve"> از مودي مالياتي درصورت مفقودي نسخه مودي مالياتي</t>
    </r>
  </si>
  <si>
    <r>
      <t xml:space="preserve"> نامه درخواست </t>
    </r>
    <r>
      <rPr>
        <b/>
        <sz val="11"/>
        <color theme="1"/>
        <rFont val="B Titr"/>
        <charset val="178"/>
      </rPr>
      <t>استرداد</t>
    </r>
    <r>
      <rPr>
        <b/>
        <sz val="11"/>
        <color theme="1"/>
        <rFont val="B Mitra"/>
        <charset val="178"/>
      </rPr>
      <t xml:space="preserve"> ، </t>
    </r>
    <r>
      <rPr>
        <b/>
        <sz val="11"/>
        <color theme="1"/>
        <rFont val="B Titr"/>
        <charset val="178"/>
      </rPr>
      <t xml:space="preserve">اعلام شماره حساب بانكي افراد حقيقي وحقوقي (بامهر شركت) </t>
    </r>
    <r>
      <rPr>
        <b/>
        <sz val="11"/>
        <color theme="1"/>
        <rFont val="B Mitra"/>
        <charset val="178"/>
      </rPr>
      <t xml:space="preserve">، </t>
    </r>
    <r>
      <rPr>
        <b/>
        <sz val="11"/>
        <color theme="1"/>
        <rFont val="B Titr"/>
        <charset val="178"/>
      </rPr>
      <t>معرفي نماينده</t>
    </r>
    <r>
      <rPr>
        <b/>
        <sz val="11"/>
        <color theme="1"/>
        <rFont val="B Mitra"/>
        <charset val="178"/>
      </rPr>
      <t xml:space="preserve"> وهمچنين </t>
    </r>
    <r>
      <rPr>
        <b/>
        <sz val="11"/>
        <color theme="1"/>
        <rFont val="B Titr"/>
        <charset val="178"/>
      </rPr>
      <t>درصورت تهاترساير بدهي هابا مبلغ استرداد</t>
    </r>
    <r>
      <rPr>
        <b/>
        <sz val="11"/>
        <color theme="1"/>
        <rFont val="B Mitra"/>
        <charset val="178"/>
      </rPr>
      <t xml:space="preserve"> از مودي ضميمه گردد</t>
    </r>
  </si>
  <si>
    <t xml:space="preserve">جدول( الف) برگ استرداد موضوع ماده 242 ق0م0م </t>
  </si>
  <si>
    <t xml:space="preserve">سازمان امور مالیاتی </t>
  </si>
  <si>
    <t>مبلغ مندرج در رسید</t>
  </si>
  <si>
    <t>شماره درامد</t>
  </si>
  <si>
    <t>مسعود بصیر</t>
  </si>
  <si>
    <t>مهدی دلفی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</si>
</sst>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_ ;_ * #,##0.00\-_ ;_ * &quot;-&quot;??_-_ ;_ @_ "/>
    <numFmt numFmtId="164" formatCode="_ * #,##0_-_ ;_ * #,##0\-_ ;_ * &quot;-&quot;??_-_ ;_ @_ "/>
    <numFmt numFmtId="165" formatCode="[$-160429]dd/mm/yy;@"/>
  </numFmts>
  <fonts count="23">
    <font>
      <sz val="11"/>
      <color theme="1"/>
      <name val="Calibri"/>
      <family val="2"/>
      <charset val="178"/>
      <scheme val="minor"/>
    </font>
    <font>
      <sz val="11"/>
      <color theme="1"/>
      <name val="B Nazanin"/>
      <charset val="178"/>
    </font>
    <font>
      <sz val="14"/>
      <color theme="1"/>
      <name val="B Nazanin"/>
      <charset val="178"/>
    </font>
    <font>
      <sz val="14"/>
      <color theme="1"/>
      <name val="Calibri"/>
      <family val="2"/>
      <charset val="178"/>
      <scheme val="minor"/>
    </font>
    <font>
      <sz val="18"/>
      <color theme="1"/>
      <name val="B Nazanin"/>
      <charset val="178"/>
    </font>
    <font>
      <sz val="11"/>
      <color theme="1"/>
      <name val="Calibri"/>
      <family val="2"/>
      <charset val="178"/>
      <scheme val="minor"/>
    </font>
    <font>
      <b/>
      <sz val="14"/>
      <color theme="1"/>
      <name val="B Nazanin"/>
      <charset val="178"/>
    </font>
    <font>
      <sz val="8"/>
      <name val="Calibri"/>
      <family val="2"/>
      <charset val="178"/>
      <scheme val="minor"/>
    </font>
    <font>
      <b/>
      <sz val="16"/>
      <color theme="1"/>
      <name val="B Nazanin"/>
      <charset val="178"/>
    </font>
    <font>
      <b/>
      <sz val="12"/>
      <color theme="1"/>
      <name val="B Nazanin"/>
      <charset val="178"/>
    </font>
    <font>
      <b/>
      <sz val="18"/>
      <color theme="1"/>
      <name val="B Nazanin"/>
      <charset val="178"/>
    </font>
    <font>
      <b/>
      <sz val="11"/>
      <color theme="1"/>
      <name val="Calibri"/>
      <family val="2"/>
      <charset val="178"/>
      <scheme val="minor"/>
    </font>
    <font>
      <b/>
      <sz val="14"/>
      <color theme="1"/>
      <name val="Calibri"/>
      <family val="2"/>
      <charset val="178"/>
      <scheme val="minor"/>
    </font>
    <font>
      <sz val="11"/>
      <color rgb="FFFF0000"/>
      <name val="Calibri"/>
      <family val="2"/>
      <charset val="178"/>
      <scheme val="minor"/>
    </font>
    <font>
      <sz val="14"/>
      <color rgb="FFFF0000"/>
      <name val="B Nazanin"/>
      <charset val="178"/>
    </font>
    <font>
      <b/>
      <sz val="14"/>
      <color rgb="FFFF0000"/>
      <name val="B Nazanin"/>
      <charset val="178"/>
    </font>
    <font>
      <b/>
      <sz val="20"/>
      <color theme="1"/>
      <name val="B Titr"/>
      <charset val="178"/>
    </font>
    <font>
      <b/>
      <sz val="11"/>
      <color theme="1"/>
      <name val="B Titr"/>
      <charset val="178"/>
    </font>
    <font>
      <sz val="16"/>
      <color theme="1"/>
      <name val="B Titr"/>
      <charset val="178"/>
    </font>
    <font>
      <b/>
      <sz val="12"/>
      <color theme="1"/>
      <name val="B Mitra"/>
      <charset val="178"/>
    </font>
    <font>
      <b/>
      <sz val="11"/>
      <color theme="1"/>
      <name val="B Mitra"/>
      <charset val="178"/>
    </font>
    <font>
      <b/>
      <u/>
      <sz val="11"/>
      <color theme="1"/>
      <name val="B Mitra"/>
      <charset val="178"/>
    </font>
    <font>
      <b/>
      <sz val="11"/>
      <color theme="1"/>
      <name val="B Tir"/>
      <charset val="178"/>
    </font>
  </fonts>
  <fills count="10">
    <fill>
      <patternFill patternType="none"/>
    </fill>
    <fill>
      <patternFill patternType="gray125"/>
    </fill>
    <fill>
      <patternFill patternType="solid">
        <fgColor theme="0" tint="-4.9989318521683403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right style="double">
        <color indexed="64"/>
      </right>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diagonal/>
    </border>
    <border>
      <left style="thin">
        <color indexed="64"/>
      </left>
      <right style="double">
        <color indexed="64"/>
      </right>
      <top/>
      <bottom style="double">
        <color indexed="64"/>
      </bottom>
      <diagonal/>
    </border>
  </borders>
  <cellStyleXfs count="2">
    <xf numFmtId="0" fontId="0" fillId="0" borderId="0"/>
    <xf numFmtId="43" fontId="5" fillId="0" borderId="0" applyFont="0" applyFill="0" applyBorder="0" applyAlignment="0" applyProtection="0"/>
  </cellStyleXfs>
  <cellXfs count="346">
    <xf numFmtId="0" fontId="0" fillId="0" borderId="0" xfId="0"/>
    <xf numFmtId="0" fontId="2" fillId="0" borderId="0" xfId="0" applyFont="1" applyAlignment="1"/>
    <xf numFmtId="0" fontId="2" fillId="0" borderId="0" xfId="0" applyFont="1"/>
    <xf numFmtId="0" fontId="0" fillId="0" borderId="1" xfId="0" applyBorder="1" applyAlignment="1"/>
    <xf numFmtId="0" fontId="2" fillId="0" borderId="0" xfId="0" applyFont="1" applyBorder="1" applyAlignment="1">
      <alignment vertical="top" wrapText="1"/>
    </xf>
    <xf numFmtId="0" fontId="2" fillId="0" borderId="0" xfId="0" applyFont="1" applyAlignment="1">
      <alignment horizontal="right"/>
    </xf>
    <xf numFmtId="0" fontId="2" fillId="2" borderId="1" xfId="0" applyFont="1" applyFill="1" applyBorder="1" applyAlignment="1">
      <alignment horizontal="center"/>
    </xf>
    <xf numFmtId="0" fontId="2" fillId="2" borderId="1" xfId="0" applyFont="1" applyFill="1" applyBorder="1" applyAlignment="1"/>
    <xf numFmtId="0" fontId="0" fillId="0" borderId="0" xfId="0" applyBorder="1"/>
    <xf numFmtId="0" fontId="8" fillId="0" borderId="6" xfId="0" applyFont="1" applyBorder="1" applyAlignment="1">
      <alignment vertical="center"/>
    </xf>
    <xf numFmtId="0" fontId="8" fillId="0" borderId="2" xfId="0" applyFont="1" applyBorder="1" applyAlignment="1">
      <alignment vertical="center"/>
    </xf>
    <xf numFmtId="0" fontId="8" fillId="0" borderId="7" xfId="0" applyFont="1" applyBorder="1" applyAlignment="1">
      <alignment vertical="center"/>
    </xf>
    <xf numFmtId="0" fontId="8" fillId="0" borderId="8" xfId="0" applyFont="1" applyBorder="1" applyAlignment="1">
      <alignment vertical="center"/>
    </xf>
    <xf numFmtId="0" fontId="8" fillId="0" borderId="0" xfId="0" applyFont="1" applyBorder="1" applyAlignment="1">
      <alignment vertical="center"/>
    </xf>
    <xf numFmtId="0" fontId="2" fillId="0" borderId="0" xfId="0" applyFont="1" applyBorder="1" applyAlignment="1">
      <alignment horizontal="center" vertical="center"/>
    </xf>
    <xf numFmtId="0" fontId="2" fillId="0" borderId="9" xfId="0" applyFont="1" applyBorder="1" applyAlignment="1">
      <alignment vertical="center"/>
    </xf>
    <xf numFmtId="0" fontId="8" fillId="0" borderId="8" xfId="0" applyFont="1" applyBorder="1" applyAlignment="1">
      <alignment horizontal="center" vertical="center"/>
    </xf>
    <xf numFmtId="0" fontId="8" fillId="0" borderId="0" xfId="0" applyFont="1" applyBorder="1" applyAlignment="1">
      <alignment horizontal="center" vertical="center"/>
    </xf>
    <xf numFmtId="0" fontId="2" fillId="0" borderId="9" xfId="0" applyFont="1" applyBorder="1" applyAlignment="1">
      <alignment horizontal="center" vertical="center"/>
    </xf>
    <xf numFmtId="0" fontId="0" fillId="0" borderId="8" xfId="0" applyBorder="1"/>
    <xf numFmtId="0" fontId="8" fillId="0" borderId="9" xfId="0" applyFont="1" applyBorder="1" applyAlignment="1">
      <alignment vertical="center"/>
    </xf>
    <xf numFmtId="0" fontId="2" fillId="0" borderId="8" xfId="0" applyFont="1" applyBorder="1" applyAlignment="1">
      <alignment vertical="top" wrapText="1"/>
    </xf>
    <xf numFmtId="0" fontId="2" fillId="0" borderId="9" xfId="0" applyFont="1" applyBorder="1" applyAlignment="1">
      <alignment vertical="top" wrapText="1"/>
    </xf>
    <xf numFmtId="0" fontId="2" fillId="0" borderId="10" xfId="0" applyFont="1" applyBorder="1" applyAlignment="1">
      <alignment vertical="top" wrapText="1"/>
    </xf>
    <xf numFmtId="0" fontId="2" fillId="0" borderId="11" xfId="0" applyFont="1" applyBorder="1" applyAlignment="1">
      <alignment vertical="top" wrapText="1"/>
    </xf>
    <xf numFmtId="0" fontId="2" fillId="0" borderId="12" xfId="0" applyFont="1" applyBorder="1" applyAlignment="1">
      <alignment vertical="top" wrapText="1"/>
    </xf>
    <xf numFmtId="0" fontId="8" fillId="0" borderId="9" xfId="0" applyFont="1" applyBorder="1" applyAlignment="1">
      <alignment horizontal="center" vertical="center"/>
    </xf>
    <xf numFmtId="0" fontId="0" fillId="0" borderId="8" xfId="0" applyBorder="1" applyAlignment="1">
      <alignment wrapText="1"/>
    </xf>
    <xf numFmtId="0" fontId="0" fillId="0" borderId="9" xfId="0" applyBorder="1"/>
    <xf numFmtId="0" fontId="0" fillId="0" borderId="10" xfId="0" applyBorder="1"/>
    <xf numFmtId="0" fontId="0" fillId="0" borderId="11" xfId="0" applyBorder="1"/>
    <xf numFmtId="0" fontId="0" fillId="0" borderId="12" xfId="0" applyBorder="1"/>
    <xf numFmtId="0" fontId="2" fillId="0" borderId="0" xfId="0" applyFont="1" applyBorder="1" applyAlignment="1">
      <alignment horizontal="center" vertical="center"/>
    </xf>
    <xf numFmtId="0" fontId="2" fillId="0" borderId="0" xfId="0" applyFont="1" applyFill="1" applyBorder="1" applyAlignment="1"/>
    <xf numFmtId="0" fontId="2" fillId="0" borderId="0"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Alignment="1">
      <alignment horizontal="right" vertical="top" wrapText="1" readingOrder="2"/>
    </xf>
    <xf numFmtId="0" fontId="2" fillId="0" borderId="0" xfId="0" applyFont="1" applyBorder="1" applyAlignment="1">
      <alignment horizontal="right" vertical="top" wrapText="1"/>
    </xf>
    <xf numFmtId="0" fontId="2" fillId="0" borderId="8" xfId="0" applyFont="1" applyBorder="1" applyAlignment="1">
      <alignment horizontal="right" vertical="top" wrapText="1"/>
    </xf>
    <xf numFmtId="0" fontId="2" fillId="0" borderId="2" xfId="0" applyFont="1" applyBorder="1" applyAlignment="1"/>
    <xf numFmtId="0" fontId="0" fillId="0" borderId="2" xfId="0" applyBorder="1" applyAlignment="1"/>
    <xf numFmtId="0" fontId="0" fillId="0" borderId="7" xfId="0" applyBorder="1"/>
    <xf numFmtId="0" fontId="2" fillId="0" borderId="0" xfId="0" applyFont="1" applyBorder="1" applyAlignment="1"/>
    <xf numFmtId="0" fontId="0" fillId="0" borderId="0" xfId="0" applyBorder="1" applyAlignment="1"/>
    <xf numFmtId="0" fontId="0" fillId="0" borderId="11" xfId="0" applyBorder="1" applyAlignment="1"/>
    <xf numFmtId="0" fontId="0" fillId="0" borderId="6" xfId="0" applyBorder="1"/>
    <xf numFmtId="0" fontId="0" fillId="0" borderId="2" xfId="0" applyBorder="1"/>
    <xf numFmtId="0" fontId="0" fillId="0" borderId="10" xfId="0" applyBorder="1" applyAlignment="1"/>
    <xf numFmtId="0" fontId="2" fillId="0" borderId="0" xfId="0" applyFont="1" applyBorder="1"/>
    <xf numFmtId="0" fontId="2" fillId="0" borderId="9" xfId="0" applyFont="1" applyBorder="1"/>
    <xf numFmtId="0" fontId="2" fillId="0" borderId="8" xfId="0" applyFont="1" applyBorder="1"/>
    <xf numFmtId="0" fontId="2" fillId="2" borderId="7" xfId="0" applyFont="1" applyFill="1" applyBorder="1" applyAlignment="1"/>
    <xf numFmtId="0" fontId="2" fillId="2" borderId="11" xfId="0" applyFont="1" applyFill="1" applyBorder="1" applyAlignment="1"/>
    <xf numFmtId="0" fontId="2" fillId="2" borderId="12" xfId="0" applyFont="1" applyFill="1" applyBorder="1" applyAlignment="1"/>
    <xf numFmtId="0" fontId="2" fillId="2" borderId="9" xfId="0" applyFont="1" applyFill="1" applyBorder="1" applyAlignment="1"/>
    <xf numFmtId="0" fontId="1" fillId="0" borderId="1" xfId="0" applyFont="1" applyBorder="1" applyAlignment="1"/>
    <xf numFmtId="164" fontId="2" fillId="0" borderId="1" xfId="1" applyNumberFormat="1" applyFont="1" applyBorder="1" applyAlignment="1"/>
    <xf numFmtId="0" fontId="2" fillId="0" borderId="1" xfId="0" applyFont="1" applyBorder="1" applyAlignment="1"/>
    <xf numFmtId="0" fontId="0" fillId="0" borderId="6" xfId="0" applyBorder="1" applyAlignment="1"/>
    <xf numFmtId="0" fontId="0" fillId="0" borderId="7" xfId="0" applyBorder="1" applyAlignment="1"/>
    <xf numFmtId="0" fontId="0" fillId="0" borderId="8" xfId="0" applyBorder="1" applyAlignment="1"/>
    <xf numFmtId="0" fontId="2" fillId="0" borderId="9" xfId="0" applyFont="1" applyBorder="1" applyAlignment="1"/>
    <xf numFmtId="0" fontId="0" fillId="0" borderId="8" xfId="0" applyFill="1" applyBorder="1" applyAlignment="1"/>
    <xf numFmtId="0" fontId="2" fillId="0" borderId="9" xfId="0" applyFont="1" applyFill="1" applyBorder="1" applyAlignment="1"/>
    <xf numFmtId="0" fontId="0" fillId="0" borderId="9" xfId="0" applyBorder="1" applyAlignment="1"/>
    <xf numFmtId="0" fontId="0" fillId="0" borderId="15" xfId="0" applyBorder="1"/>
    <xf numFmtId="0" fontId="17" fillId="0" borderId="16" xfId="0" applyFont="1" applyBorder="1" applyAlignment="1">
      <alignment horizontal="center" vertical="center" textRotation="90" shrinkToFit="1"/>
    </xf>
    <xf numFmtId="0" fontId="17" fillId="0" borderId="16" xfId="0" applyFont="1" applyBorder="1" applyAlignment="1">
      <alignment horizontal="center" vertical="center" shrinkToFit="1"/>
    </xf>
    <xf numFmtId="0" fontId="17" fillId="0" borderId="18" xfId="0" applyFont="1" applyBorder="1" applyAlignment="1">
      <alignment horizontal="center" vertical="center" shrinkToFit="1"/>
    </xf>
    <xf numFmtId="0" fontId="17" fillId="0" borderId="1" xfId="0" applyFont="1" applyBorder="1" applyAlignment="1">
      <alignment horizontal="center" vertical="center" shrinkToFit="1"/>
    </xf>
    <xf numFmtId="0" fontId="0" fillId="0" borderId="21" xfId="0" applyBorder="1" applyAlignment="1">
      <alignment horizontal="center" vertical="center" shrinkToFit="1"/>
    </xf>
    <xf numFmtId="0" fontId="0" fillId="0" borderId="22" xfId="0" applyBorder="1" applyAlignment="1">
      <alignment horizontal="center" vertical="center" shrinkToFit="1"/>
    </xf>
    <xf numFmtId="49" fontId="17" fillId="0" borderId="1" xfId="0" applyNumberFormat="1" applyFont="1" applyBorder="1" applyAlignment="1">
      <alignment horizontal="center" vertical="center" shrinkToFit="1"/>
    </xf>
    <xf numFmtId="0" fontId="17" fillId="0" borderId="1" xfId="0" applyFont="1" applyBorder="1" applyAlignment="1">
      <alignment horizontal="center" vertical="center" textRotation="90" shrinkToFit="1"/>
    </xf>
    <xf numFmtId="0" fontId="0" fillId="0" borderId="0" xfId="0" applyAlignment="1">
      <alignment horizontal="center"/>
    </xf>
    <xf numFmtId="0" fontId="6" fillId="0" borderId="0" xfId="0" applyFont="1" applyAlignment="1">
      <alignment horizontal="justify" vertical="center" readingOrder="2"/>
    </xf>
    <xf numFmtId="0" fontId="2" fillId="0" borderId="1" xfId="0" applyFont="1" applyBorder="1"/>
    <xf numFmtId="164" fontId="2" fillId="0" borderId="1" xfId="1" applyNumberFormat="1" applyFont="1" applyBorder="1"/>
    <xf numFmtId="0" fontId="0" fillId="0" borderId="0" xfId="0" applyProtection="1">
      <protection locked="0"/>
    </xf>
    <xf numFmtId="0" fontId="0" fillId="0" borderId="0" xfId="0" applyAlignment="1" applyProtection="1">
      <alignment horizontal="center" vertical="center"/>
      <protection locked="0"/>
    </xf>
    <xf numFmtId="0" fontId="13" fillId="0" borderId="0" xfId="0" applyFont="1" applyProtection="1">
      <protection locked="0"/>
    </xf>
    <xf numFmtId="165" fontId="13" fillId="0" borderId="0" xfId="0" applyNumberFormat="1" applyFont="1" applyAlignment="1" applyProtection="1">
      <alignment readingOrder="2"/>
      <protection locked="0"/>
    </xf>
    <xf numFmtId="0" fontId="3" fillId="0" borderId="0" xfId="0" applyFont="1" applyProtection="1">
      <protection locked="0"/>
    </xf>
    <xf numFmtId="0" fontId="6" fillId="7" borderId="32" xfId="0" applyFont="1" applyFill="1" applyBorder="1" applyAlignment="1" applyProtection="1">
      <alignment horizontal="center" vertical="center"/>
      <protection locked="0"/>
    </xf>
    <xf numFmtId="0" fontId="6" fillId="0" borderId="33" xfId="0" applyFont="1" applyBorder="1" applyAlignment="1" applyProtection="1">
      <alignment horizontal="center" vertical="center"/>
      <protection locked="0"/>
    </xf>
    <xf numFmtId="0" fontId="6" fillId="6" borderId="32" xfId="0" applyFont="1" applyFill="1" applyBorder="1" applyAlignment="1" applyProtection="1">
      <alignment horizontal="center" vertical="center"/>
      <protection locked="0"/>
    </xf>
    <xf numFmtId="0" fontId="6" fillId="6" borderId="1" xfId="0" applyFont="1" applyFill="1" applyBorder="1" applyAlignment="1" applyProtection="1">
      <alignment horizontal="center" vertical="center"/>
      <protection locked="0"/>
    </xf>
    <xf numFmtId="0" fontId="6" fillId="6" borderId="33" xfId="0" applyFont="1" applyFill="1" applyBorder="1" applyAlignment="1" applyProtection="1">
      <alignment horizontal="center" vertical="center"/>
      <protection locked="0"/>
    </xf>
    <xf numFmtId="0" fontId="6" fillId="5" borderId="32" xfId="0" applyFont="1" applyFill="1" applyBorder="1" applyAlignment="1" applyProtection="1">
      <alignment horizontal="center" vertical="center"/>
      <protection locked="0"/>
    </xf>
    <xf numFmtId="0" fontId="6" fillId="0" borderId="1" xfId="0" applyFont="1" applyBorder="1" applyAlignment="1" applyProtection="1">
      <alignment vertical="center"/>
      <protection locked="0"/>
    </xf>
    <xf numFmtId="0" fontId="6" fillId="0" borderId="1" xfId="0" applyFont="1" applyFill="1" applyBorder="1" applyAlignment="1" applyProtection="1">
      <alignment vertical="center"/>
      <protection locked="0"/>
    </xf>
    <xf numFmtId="0" fontId="6" fillId="0" borderId="33" xfId="0" applyFont="1" applyFill="1" applyBorder="1" applyAlignment="1" applyProtection="1">
      <alignment vertical="center"/>
      <protection locked="0"/>
    </xf>
    <xf numFmtId="1" fontId="6" fillId="0" borderId="33" xfId="0" applyNumberFormat="1" applyFont="1" applyBorder="1" applyAlignment="1" applyProtection="1">
      <alignment horizontal="center" vertical="center"/>
      <protection locked="0"/>
    </xf>
    <xf numFmtId="0" fontId="6" fillId="0" borderId="3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164" fontId="6" fillId="0" borderId="33" xfId="1" applyNumberFormat="1" applyFont="1" applyBorder="1" applyAlignment="1" applyProtection="1">
      <alignment horizontal="center" vertical="center"/>
      <protection locked="0"/>
    </xf>
    <xf numFmtId="164" fontId="6" fillId="0" borderId="1" xfId="1" applyNumberFormat="1" applyFont="1" applyBorder="1" applyProtection="1">
      <protection locked="0"/>
    </xf>
    <xf numFmtId="0" fontId="6" fillId="0" borderId="33" xfId="0" applyFont="1" applyBorder="1" applyProtection="1">
      <protection locked="0"/>
    </xf>
    <xf numFmtId="0" fontId="6" fillId="0" borderId="1" xfId="0" applyFont="1" applyBorder="1" applyProtection="1">
      <protection locked="0"/>
    </xf>
    <xf numFmtId="0" fontId="12" fillId="0" borderId="1" xfId="0" applyFont="1" applyBorder="1" applyProtection="1">
      <protection locked="0"/>
    </xf>
    <xf numFmtId="164" fontId="6" fillId="0" borderId="1" xfId="0" applyNumberFormat="1" applyFont="1" applyBorder="1" applyProtection="1">
      <protection locked="0"/>
    </xf>
    <xf numFmtId="0" fontId="14" fillId="0" borderId="1" xfId="0" applyFont="1" applyBorder="1" applyProtection="1">
      <protection locked="0"/>
    </xf>
    <xf numFmtId="0" fontId="15" fillId="0" borderId="0" xfId="0" applyFont="1" applyProtection="1">
      <protection locked="0"/>
    </xf>
    <xf numFmtId="0" fontId="6" fillId="0" borderId="33" xfId="0" applyFont="1" applyBorder="1" applyAlignment="1" applyProtection="1">
      <alignment horizontal="right" vertical="center" wrapText="1"/>
      <protection locked="0"/>
    </xf>
    <xf numFmtId="0" fontId="3" fillId="0" borderId="0" xfId="0" applyFont="1" applyAlignment="1" applyProtection="1">
      <alignment horizontal="center" vertical="center"/>
      <protection locked="0"/>
    </xf>
    <xf numFmtId="0" fontId="2" fillId="0" borderId="0" xfId="0" applyFont="1" applyFill="1" applyBorder="1" applyAlignment="1" applyProtection="1">
      <protection locked="0"/>
    </xf>
    <xf numFmtId="0" fontId="2" fillId="0" borderId="0" xfId="0" applyFont="1" applyFill="1" applyBorder="1" applyAlignment="1" applyProtection="1">
      <alignment vertical="center"/>
      <protection locked="0"/>
    </xf>
    <xf numFmtId="0" fontId="6" fillId="7" borderId="34" xfId="0" applyFont="1" applyFill="1" applyBorder="1" applyAlignment="1" applyProtection="1">
      <alignment horizontal="center" vertical="center"/>
      <protection locked="0"/>
    </xf>
    <xf numFmtId="0" fontId="6" fillId="0" borderId="38" xfId="0" applyFont="1" applyBorder="1" applyAlignment="1" applyProtection="1">
      <alignment horizontal="center" vertical="center"/>
      <protection locked="0"/>
    </xf>
    <xf numFmtId="0" fontId="2" fillId="0" borderId="0" xfId="0" applyFont="1" applyFill="1" applyBorder="1" applyAlignment="1" applyProtection="1">
      <alignment vertical="center" wrapText="1"/>
      <protection locked="0"/>
    </xf>
    <xf numFmtId="165" fontId="0" fillId="0" borderId="0" xfId="0" applyNumberFormat="1" applyAlignment="1" applyProtection="1">
      <alignment readingOrder="2"/>
      <protection locked="0"/>
    </xf>
    <xf numFmtId="0" fontId="11" fillId="0" borderId="0" xfId="0" applyFont="1" applyProtection="1">
      <protection locked="0"/>
    </xf>
    <xf numFmtId="0" fontId="11" fillId="0" borderId="0" xfId="0" applyFont="1" applyAlignment="1" applyProtection="1">
      <alignment horizontal="center" vertical="center"/>
      <protection locked="0"/>
    </xf>
    <xf numFmtId="0" fontId="6" fillId="3" borderId="34" xfId="0" applyFont="1" applyFill="1" applyBorder="1" applyAlignment="1" applyProtection="1">
      <alignment horizontal="center" vertical="center"/>
    </xf>
    <xf numFmtId="164" fontId="6" fillId="3" borderId="38" xfId="1" applyNumberFormat="1" applyFont="1" applyFill="1" applyBorder="1" applyAlignment="1" applyProtection="1">
      <alignment horizontal="center" vertical="center"/>
    </xf>
    <xf numFmtId="0" fontId="12" fillId="0" borderId="34" xfId="0" applyFont="1" applyBorder="1" applyProtection="1"/>
    <xf numFmtId="0" fontId="12" fillId="0" borderId="39" xfId="0" applyFont="1" applyBorder="1" applyProtection="1"/>
    <xf numFmtId="164" fontId="6" fillId="8" borderId="39" xfId="0" applyNumberFormat="1" applyFont="1" applyFill="1" applyBorder="1" applyProtection="1"/>
    <xf numFmtId="0" fontId="6" fillId="0" borderId="38" xfId="0" applyFont="1" applyBorder="1" applyProtection="1"/>
    <xf numFmtId="0" fontId="6" fillId="5" borderId="32" xfId="0" applyFont="1" applyFill="1" applyBorder="1" applyAlignment="1" applyProtection="1">
      <alignment vertical="center"/>
    </xf>
    <xf numFmtId="0" fontId="6" fillId="5" borderId="32" xfId="0" applyFont="1" applyFill="1" applyBorder="1" applyProtection="1"/>
    <xf numFmtId="0" fontId="6" fillId="4" borderId="32" xfId="0" applyFont="1" applyFill="1" applyBorder="1" applyAlignment="1" applyProtection="1">
      <alignment horizontal="center"/>
      <protection locked="0"/>
    </xf>
    <xf numFmtId="0" fontId="6" fillId="4" borderId="1" xfId="0" applyFont="1" applyFill="1" applyBorder="1" applyAlignment="1" applyProtection="1">
      <alignment horizontal="center"/>
      <protection locked="0"/>
    </xf>
    <xf numFmtId="0" fontId="6" fillId="4" borderId="34" xfId="0" applyFont="1" applyFill="1" applyBorder="1" applyAlignment="1" applyProtection="1">
      <alignment horizontal="center"/>
      <protection locked="0"/>
    </xf>
    <xf numFmtId="0" fontId="6" fillId="4" borderId="39" xfId="0" applyFont="1" applyFill="1" applyBorder="1" applyAlignment="1" applyProtection="1">
      <alignment horizontal="center"/>
      <protection locked="0"/>
    </xf>
    <xf numFmtId="164" fontId="6" fillId="8" borderId="1" xfId="1" applyNumberFormat="1" applyFont="1" applyFill="1" applyBorder="1" applyAlignment="1" applyProtection="1">
      <alignment horizontal="center"/>
    </xf>
    <xf numFmtId="164" fontId="6" fillId="8" borderId="33" xfId="1" applyNumberFormat="1" applyFont="1" applyFill="1" applyBorder="1" applyAlignment="1" applyProtection="1">
      <alignment horizontal="center"/>
    </xf>
    <xf numFmtId="164" fontId="6" fillId="8" borderId="39" xfId="1" applyNumberFormat="1" applyFont="1" applyFill="1" applyBorder="1" applyAlignment="1" applyProtection="1">
      <alignment horizontal="center"/>
    </xf>
    <xf numFmtId="164" fontId="6" fillId="8" borderId="38" xfId="1" applyNumberFormat="1" applyFont="1" applyFill="1" applyBorder="1" applyAlignment="1" applyProtection="1">
      <alignment horizontal="center"/>
    </xf>
    <xf numFmtId="164" fontId="6" fillId="0" borderId="1" xfId="1" applyNumberFormat="1" applyFont="1" applyBorder="1" applyAlignment="1" applyProtection="1">
      <alignment horizontal="center"/>
      <protection locked="0"/>
    </xf>
    <xf numFmtId="164" fontId="6" fillId="0" borderId="33" xfId="1" applyNumberFormat="1"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33" xfId="0" applyFont="1" applyBorder="1" applyAlignment="1" applyProtection="1">
      <alignment horizontal="center"/>
      <protection locked="0"/>
    </xf>
    <xf numFmtId="0" fontId="6" fillId="0" borderId="1" xfId="0" applyFont="1" applyFill="1" applyBorder="1" applyAlignment="1" applyProtection="1">
      <alignment horizontal="center" vertical="center"/>
      <protection locked="0"/>
    </xf>
    <xf numFmtId="0" fontId="6" fillId="0" borderId="33" xfId="0" applyFont="1" applyFill="1" applyBorder="1" applyAlignment="1" applyProtection="1">
      <alignment horizontal="center" vertical="center"/>
      <protection locked="0"/>
    </xf>
    <xf numFmtId="0" fontId="6" fillId="5" borderId="49" xfId="0" applyFont="1" applyFill="1" applyBorder="1" applyAlignment="1" applyProtection="1">
      <alignment horizontal="right"/>
      <protection locked="0"/>
    </xf>
    <xf numFmtId="0" fontId="6" fillId="5" borderId="36" xfId="0" applyFont="1" applyFill="1" applyBorder="1" applyAlignment="1" applyProtection="1">
      <alignment horizontal="right"/>
      <protection locked="0"/>
    </xf>
    <xf numFmtId="0" fontId="6" fillId="5" borderId="37" xfId="0" applyFont="1" applyFill="1" applyBorder="1" applyAlignment="1" applyProtection="1">
      <alignment horizontal="right"/>
      <protection locked="0"/>
    </xf>
    <xf numFmtId="164" fontId="6" fillId="8" borderId="35" xfId="0" applyNumberFormat="1" applyFont="1" applyFill="1" applyBorder="1" applyAlignment="1" applyProtection="1">
      <alignment horizontal="center" vertical="center"/>
    </xf>
    <xf numFmtId="0" fontId="6" fillId="8" borderId="36" xfId="0" applyFont="1" applyFill="1" applyBorder="1" applyAlignment="1" applyProtection="1">
      <alignment horizontal="center" vertical="center"/>
    </xf>
    <xf numFmtId="0" fontId="6" fillId="8" borderId="50" xfId="0" applyFont="1" applyFill="1" applyBorder="1" applyAlignment="1" applyProtection="1">
      <alignment horizontal="center" vertical="center"/>
    </xf>
    <xf numFmtId="0" fontId="6" fillId="4" borderId="40" xfId="0" applyFont="1" applyFill="1" applyBorder="1" applyAlignment="1" applyProtection="1">
      <alignment horizontal="center" vertical="center"/>
      <protection locked="0"/>
    </xf>
    <xf numFmtId="0" fontId="6" fillId="4" borderId="51" xfId="0" applyFont="1" applyFill="1" applyBorder="1" applyAlignment="1" applyProtection="1">
      <alignment horizontal="center" vertical="center"/>
      <protection locked="0"/>
    </xf>
    <xf numFmtId="0" fontId="6" fillId="4" borderId="34" xfId="0" applyFont="1" applyFill="1" applyBorder="1" applyAlignment="1" applyProtection="1">
      <alignment horizontal="center" vertical="center"/>
      <protection locked="0"/>
    </xf>
    <xf numFmtId="0" fontId="6" fillId="4" borderId="39" xfId="0" applyFont="1" applyFill="1" applyBorder="1" applyAlignment="1" applyProtection="1">
      <alignment horizontal="center" vertical="center"/>
      <protection locked="0"/>
    </xf>
    <xf numFmtId="0" fontId="6" fillId="0" borderId="52" xfId="0" applyFont="1" applyBorder="1" applyAlignment="1" applyProtection="1">
      <alignment horizontal="center" vertical="center"/>
      <protection locked="0"/>
    </xf>
    <xf numFmtId="0" fontId="6" fillId="0" borderId="53" xfId="0" applyFont="1" applyBorder="1" applyAlignment="1" applyProtection="1">
      <alignment horizontal="center" vertical="center"/>
      <protection locked="0"/>
    </xf>
    <xf numFmtId="0" fontId="6" fillId="4" borderId="32" xfId="0" applyFont="1" applyFill="1" applyBorder="1" applyAlignment="1" applyProtection="1">
      <alignment horizontal="center" vertical="center"/>
      <protection locked="0"/>
    </xf>
    <xf numFmtId="0" fontId="6" fillId="4" borderId="1" xfId="0" applyFont="1" applyFill="1" applyBorder="1" applyAlignment="1" applyProtection="1">
      <alignment horizontal="center" vertical="center"/>
      <protection locked="0"/>
    </xf>
    <xf numFmtId="0" fontId="6" fillId="0" borderId="51" xfId="0" applyFont="1" applyBorder="1" applyAlignment="1" applyProtection="1">
      <alignment horizontal="center" vertical="center"/>
      <protection locked="0"/>
    </xf>
    <xf numFmtId="0" fontId="6" fillId="0" borderId="41"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33" xfId="0" applyFont="1" applyBorder="1" applyAlignment="1" applyProtection="1">
      <alignment horizontal="center" vertical="center"/>
      <protection locked="0"/>
    </xf>
    <xf numFmtId="164" fontId="6" fillId="0" borderId="3" xfId="1" applyNumberFormat="1" applyFont="1" applyBorder="1" applyAlignment="1" applyProtection="1">
      <alignment horizontal="center" vertical="center"/>
      <protection locked="0"/>
    </xf>
    <xf numFmtId="164" fontId="6" fillId="0" borderId="4" xfId="1" applyNumberFormat="1" applyFont="1" applyBorder="1" applyAlignment="1" applyProtection="1">
      <alignment horizontal="center" vertical="center"/>
      <protection locked="0"/>
    </xf>
    <xf numFmtId="164" fontId="6" fillId="0" borderId="48" xfId="1" applyNumberFormat="1" applyFont="1" applyBorder="1" applyAlignment="1" applyProtection="1">
      <alignment horizontal="center" vertical="center"/>
      <protection locked="0"/>
    </xf>
    <xf numFmtId="0" fontId="6" fillId="5" borderId="47" xfId="0" applyFont="1" applyFill="1" applyBorder="1" applyAlignment="1" applyProtection="1">
      <alignment horizontal="right"/>
      <protection locked="0"/>
    </xf>
    <xf numFmtId="0" fontId="6" fillId="5" borderId="4" xfId="0" applyFont="1" applyFill="1" applyBorder="1" applyAlignment="1" applyProtection="1">
      <alignment horizontal="right"/>
      <protection locked="0"/>
    </xf>
    <xf numFmtId="0" fontId="6" fillId="5" borderId="5" xfId="0" applyFont="1" applyFill="1" applyBorder="1" applyAlignment="1" applyProtection="1">
      <alignment horizontal="right"/>
      <protection locked="0"/>
    </xf>
    <xf numFmtId="164" fontId="6" fillId="8" borderId="3" xfId="1" applyNumberFormat="1" applyFont="1" applyFill="1" applyBorder="1" applyAlignment="1" applyProtection="1">
      <alignment horizontal="center" vertical="center"/>
    </xf>
    <xf numFmtId="164" fontId="6" fillId="8" borderId="4" xfId="1" applyNumberFormat="1" applyFont="1" applyFill="1" applyBorder="1" applyAlignment="1" applyProtection="1">
      <alignment horizontal="center" vertical="center"/>
    </xf>
    <xf numFmtId="164" fontId="6" fillId="8" borderId="48" xfId="1" applyNumberFormat="1" applyFont="1" applyFill="1" applyBorder="1" applyAlignment="1" applyProtection="1">
      <alignment horizontal="center" vertical="center"/>
    </xf>
    <xf numFmtId="0" fontId="6" fillId="7" borderId="40" xfId="0" applyFont="1" applyFill="1" applyBorder="1" applyAlignment="1" applyProtection="1">
      <alignment horizontal="center" vertical="center"/>
      <protection locked="0"/>
    </xf>
    <xf numFmtId="0" fontId="6" fillId="7" borderId="41" xfId="0" applyFont="1" applyFill="1" applyBorder="1" applyAlignment="1" applyProtection="1">
      <alignment horizontal="center" vertical="center"/>
      <protection locked="0"/>
    </xf>
    <xf numFmtId="0" fontId="6" fillId="7" borderId="32" xfId="0" applyFont="1" applyFill="1" applyBorder="1" applyAlignment="1" applyProtection="1">
      <alignment horizontal="center" vertical="center"/>
      <protection locked="0"/>
    </xf>
    <xf numFmtId="0" fontId="6" fillId="7" borderId="33" xfId="0" applyFont="1" applyFill="1" applyBorder="1" applyAlignment="1" applyProtection="1">
      <alignment horizontal="center" vertical="center"/>
      <protection locked="0"/>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37" xfId="0" applyFont="1" applyFill="1" applyBorder="1" applyAlignment="1" applyProtection="1">
      <alignment horizontal="center" vertical="center"/>
    </xf>
    <xf numFmtId="0" fontId="6" fillId="6" borderId="27" xfId="0" applyFont="1" applyFill="1" applyBorder="1" applyAlignment="1" applyProtection="1">
      <alignment horizontal="center" vertical="center"/>
      <protection locked="0"/>
    </xf>
    <xf numFmtId="0" fontId="6" fillId="6" borderId="28" xfId="0" applyFont="1" applyFill="1" applyBorder="1" applyAlignment="1" applyProtection="1">
      <alignment horizontal="center" vertical="center"/>
      <protection locked="0"/>
    </xf>
    <xf numFmtId="0" fontId="6" fillId="6" borderId="29" xfId="0" applyFont="1" applyFill="1" applyBorder="1" applyAlignment="1" applyProtection="1">
      <alignment horizontal="center" vertical="center"/>
      <protection locked="0"/>
    </xf>
    <xf numFmtId="0" fontId="6" fillId="6" borderId="30" xfId="0" applyFont="1" applyFill="1" applyBorder="1" applyAlignment="1" applyProtection="1">
      <alignment horizontal="center" vertical="center"/>
      <protection locked="0"/>
    </xf>
    <xf numFmtId="0" fontId="6" fillId="6" borderId="11" xfId="0" applyFont="1" applyFill="1" applyBorder="1" applyAlignment="1" applyProtection="1">
      <alignment horizontal="center" vertical="center"/>
      <protection locked="0"/>
    </xf>
    <xf numFmtId="0" fontId="6" fillId="6" borderId="31" xfId="0" applyFont="1" applyFill="1" applyBorder="1" applyAlignment="1" applyProtection="1">
      <alignment horizontal="center" vertical="center"/>
      <protection locked="0"/>
    </xf>
    <xf numFmtId="0" fontId="2" fillId="5" borderId="27" xfId="0" applyFont="1" applyFill="1" applyBorder="1" applyAlignment="1" applyProtection="1">
      <alignment horizontal="center" vertical="center"/>
      <protection locked="0"/>
    </xf>
    <xf numFmtId="0" fontId="2" fillId="5" borderId="28" xfId="0" applyFont="1" applyFill="1" applyBorder="1" applyAlignment="1" applyProtection="1">
      <alignment horizontal="center" vertical="center"/>
      <protection locked="0"/>
    </xf>
    <xf numFmtId="0" fontId="2" fillId="5" borderId="29" xfId="0" applyFont="1" applyFill="1" applyBorder="1" applyAlignment="1" applyProtection="1">
      <alignment horizontal="center" vertical="center"/>
      <protection locked="0"/>
    </xf>
    <xf numFmtId="0" fontId="2" fillId="5" borderId="30" xfId="0" applyFont="1" applyFill="1" applyBorder="1" applyAlignment="1" applyProtection="1">
      <alignment horizontal="center" vertical="center"/>
      <protection locked="0"/>
    </xf>
    <xf numFmtId="0" fontId="2" fillId="5" borderId="11" xfId="0" applyFont="1" applyFill="1" applyBorder="1" applyAlignment="1" applyProtection="1">
      <alignment horizontal="center" vertical="center"/>
      <protection locked="0"/>
    </xf>
    <xf numFmtId="0" fontId="2" fillId="5" borderId="31" xfId="0" applyFont="1" applyFill="1" applyBorder="1" applyAlignment="1" applyProtection="1">
      <alignment horizontal="center" vertical="center"/>
      <protection locked="0"/>
    </xf>
    <xf numFmtId="0" fontId="6" fillId="5" borderId="42" xfId="0" applyFont="1" applyFill="1" applyBorder="1" applyAlignment="1" applyProtection="1">
      <alignment horizontal="center"/>
      <protection locked="0"/>
    </xf>
    <xf numFmtId="0" fontId="6" fillId="5" borderId="43" xfId="0" applyFont="1" applyFill="1" applyBorder="1" applyAlignment="1" applyProtection="1">
      <alignment horizontal="center"/>
      <protection locked="0"/>
    </xf>
    <xf numFmtId="0" fontId="6" fillId="5" borderId="44" xfId="0" applyFont="1" applyFill="1" applyBorder="1" applyAlignment="1" applyProtection="1">
      <alignment horizontal="center"/>
      <protection locked="0"/>
    </xf>
    <xf numFmtId="0" fontId="6" fillId="5" borderId="45" xfId="0" applyFont="1" applyFill="1" applyBorder="1" applyAlignment="1" applyProtection="1">
      <alignment horizontal="center"/>
      <protection locked="0"/>
    </xf>
    <xf numFmtId="0" fontId="6" fillId="5" borderId="46" xfId="0" applyFont="1" applyFill="1" applyBorder="1" applyAlignment="1" applyProtection="1">
      <alignment horizontal="center"/>
      <protection locked="0"/>
    </xf>
    <xf numFmtId="0" fontId="2" fillId="0" borderId="0" xfId="0" applyFont="1" applyAlignment="1">
      <alignment horizontal="center" vertical="center" wrapText="1"/>
    </xf>
    <xf numFmtId="0" fontId="16" fillId="0" borderId="14" xfId="0" applyFont="1" applyBorder="1" applyAlignment="1">
      <alignment horizontal="center" vertical="center" shrinkToFit="1"/>
    </xf>
    <xf numFmtId="0" fontId="18" fillId="0" borderId="16" xfId="0" applyFont="1" applyBorder="1" applyAlignment="1">
      <alignment horizontal="center" vertical="center" shrinkToFit="1"/>
    </xf>
    <xf numFmtId="0" fontId="18" fillId="0" borderId="17" xfId="0" applyFont="1" applyBorder="1" applyAlignment="1">
      <alignment horizontal="center" vertical="center" shrinkToFit="1"/>
    </xf>
    <xf numFmtId="0" fontId="0" fillId="9" borderId="19" xfId="0" applyFill="1" applyBorder="1"/>
    <xf numFmtId="0" fontId="0" fillId="9" borderId="4" xfId="0" applyFill="1" applyBorder="1"/>
    <xf numFmtId="0" fontId="0" fillId="9" borderId="20" xfId="0" applyFill="1" applyBorder="1"/>
    <xf numFmtId="0" fontId="17" fillId="0" borderId="21" xfId="0" applyFont="1" applyBorder="1" applyAlignment="1">
      <alignment horizontal="center" vertical="center" textRotation="90" shrinkToFit="1"/>
    </xf>
    <xf numFmtId="0" fontId="19" fillId="0" borderId="19" xfId="0" applyFont="1" applyBorder="1" applyAlignment="1">
      <alignment horizontal="right" vertical="center" shrinkToFit="1"/>
    </xf>
    <xf numFmtId="0" fontId="19" fillId="0" borderId="4" xfId="0" applyFont="1" applyBorder="1" applyAlignment="1">
      <alignment horizontal="right" vertical="center" shrinkToFit="1"/>
    </xf>
    <xf numFmtId="0" fontId="19" fillId="0" borderId="20" xfId="0" applyFont="1" applyBorder="1" applyAlignment="1">
      <alignment horizontal="right" vertical="center" shrinkToFit="1"/>
    </xf>
    <xf numFmtId="0" fontId="20" fillId="0" borderId="19" xfId="0" applyFont="1" applyBorder="1" applyAlignment="1">
      <alignment horizontal="center" vertical="center" wrapText="1" shrinkToFit="1"/>
    </xf>
    <xf numFmtId="0" fontId="20" fillId="0" borderId="4" xfId="0" applyFont="1" applyBorder="1" applyAlignment="1">
      <alignment horizontal="center" vertical="center" wrapText="1" shrinkToFit="1"/>
    </xf>
    <xf numFmtId="0" fontId="20" fillId="0" borderId="5" xfId="0" applyFont="1" applyBorder="1" applyAlignment="1">
      <alignment horizontal="center" vertical="center" wrapText="1" shrinkToFit="1"/>
    </xf>
    <xf numFmtId="0" fontId="0" fillId="9" borderId="19" xfId="0" applyFill="1" applyBorder="1" applyAlignment="1">
      <alignment horizontal="center" vertical="center" shrinkToFit="1"/>
    </xf>
    <xf numFmtId="0" fontId="0" fillId="9" borderId="4" xfId="0" applyFill="1" applyBorder="1" applyAlignment="1">
      <alignment horizontal="center" vertical="center" shrinkToFit="1"/>
    </xf>
    <xf numFmtId="0" fontId="0" fillId="9" borderId="20" xfId="0" applyFill="1" applyBorder="1" applyAlignment="1">
      <alignment horizontal="center" vertical="center" shrinkToFit="1"/>
    </xf>
    <xf numFmtId="0" fontId="20" fillId="0" borderId="3" xfId="0" applyFont="1" applyBorder="1" applyAlignment="1">
      <alignment horizontal="center" vertical="center" shrinkToFit="1"/>
    </xf>
    <xf numFmtId="0" fontId="20" fillId="0" borderId="4" xfId="0" applyFont="1" applyBorder="1" applyAlignment="1">
      <alignment horizontal="center" vertical="center" shrinkToFit="1"/>
    </xf>
    <xf numFmtId="0" fontId="17" fillId="0" borderId="3" xfId="0" applyFont="1" applyBorder="1" applyAlignment="1">
      <alignment horizontal="center" vertical="center" shrinkToFit="1"/>
    </xf>
    <xf numFmtId="0" fontId="17" fillId="0" borderId="4" xfId="0" applyFont="1" applyBorder="1" applyAlignment="1">
      <alignment horizontal="center" vertical="center" shrinkToFit="1"/>
    </xf>
    <xf numFmtId="0" fontId="20" fillId="0" borderId="23" xfId="0" applyFont="1" applyBorder="1" applyAlignment="1">
      <alignment horizontal="center" vertical="center" shrinkToFit="1"/>
    </xf>
    <xf numFmtId="0" fontId="20" fillId="0" borderId="23" xfId="0" applyFont="1" applyBorder="1" applyAlignment="1">
      <alignment horizontal="center" vertical="center" wrapText="1" shrinkToFit="1"/>
    </xf>
    <xf numFmtId="0" fontId="20" fillId="0" borderId="3" xfId="0" applyFont="1" applyBorder="1" applyAlignment="1">
      <alignment horizontal="center" vertical="center" wrapText="1" shrinkToFit="1"/>
    </xf>
    <xf numFmtId="0" fontId="17" fillId="0" borderId="24" xfId="0" applyFont="1" applyBorder="1" applyAlignment="1">
      <alignment horizontal="center" vertical="center" textRotation="90" shrinkToFit="1"/>
    </xf>
    <xf numFmtId="0" fontId="17" fillId="0" borderId="25" xfId="0" applyFont="1" applyBorder="1" applyAlignment="1">
      <alignment horizontal="center" vertical="center" textRotation="90" shrinkToFit="1"/>
    </xf>
    <xf numFmtId="0" fontId="17" fillId="0" borderId="26" xfId="0" applyFont="1" applyBorder="1" applyAlignment="1">
      <alignment horizontal="center" vertical="center" textRotation="90" shrinkToFit="1"/>
    </xf>
    <xf numFmtId="0" fontId="20" fillId="0" borderId="20" xfId="0" applyFont="1" applyBorder="1" applyAlignment="1">
      <alignment horizontal="center" vertical="center" wrapText="1" shrinkToFit="1"/>
    </xf>
    <xf numFmtId="0" fontId="2" fillId="0" borderId="6" xfId="0" applyFont="1" applyBorder="1" applyAlignment="1">
      <alignment horizontal="right" vertical="top" wrapText="1" indent="1" readingOrder="2"/>
    </xf>
    <xf numFmtId="0" fontId="2" fillId="0" borderId="2" xfId="0" applyFont="1" applyBorder="1" applyAlignment="1">
      <alignment horizontal="right" vertical="top" wrapText="1" indent="1" readingOrder="2"/>
    </xf>
    <xf numFmtId="0" fontId="2" fillId="0" borderId="7" xfId="0" applyFont="1" applyBorder="1" applyAlignment="1">
      <alignment horizontal="right" vertical="top" wrapText="1" indent="1" readingOrder="2"/>
    </xf>
    <xf numFmtId="0" fontId="2" fillId="0" borderId="8" xfId="0" applyFont="1" applyBorder="1" applyAlignment="1">
      <alignment horizontal="right" vertical="top" wrapText="1" indent="1" readingOrder="2"/>
    </xf>
    <xf numFmtId="0" fontId="2" fillId="0" borderId="0" xfId="0" applyFont="1" applyBorder="1" applyAlignment="1">
      <alignment horizontal="right" vertical="top" wrapText="1" indent="1" readingOrder="2"/>
    </xf>
    <xf numFmtId="0" fontId="2" fillId="0" borderId="9" xfId="0" applyFont="1" applyBorder="1" applyAlignment="1">
      <alignment horizontal="right" vertical="top" wrapText="1" indent="1" readingOrder="2"/>
    </xf>
    <xf numFmtId="0" fontId="2" fillId="0" borderId="10" xfId="0" applyFont="1" applyBorder="1" applyAlignment="1">
      <alignment horizontal="right" vertical="top" wrapText="1" indent="1" readingOrder="2"/>
    </xf>
    <xf numFmtId="0" fontId="2" fillId="0" borderId="11" xfId="0" applyFont="1" applyBorder="1" applyAlignment="1">
      <alignment horizontal="right" vertical="top" wrapText="1" indent="1" readingOrder="2"/>
    </xf>
    <xf numFmtId="0" fontId="2" fillId="0" borderId="12" xfId="0" applyFont="1" applyBorder="1" applyAlignment="1">
      <alignment horizontal="right" vertical="top" wrapText="1" indent="1" readingOrder="2"/>
    </xf>
    <xf numFmtId="0" fontId="4" fillId="0" borderId="0" xfId="0" applyFont="1" applyFill="1" applyAlignment="1">
      <alignment horizontal="center" vertical="center"/>
    </xf>
    <xf numFmtId="0" fontId="2" fillId="0" borderId="0" xfId="0" applyFont="1" applyAlignment="1">
      <alignment horizontal="right"/>
    </xf>
    <xf numFmtId="0" fontId="2" fillId="0" borderId="0" xfId="0" applyFont="1" applyAlignment="1">
      <alignment horizontal="center"/>
    </xf>
    <xf numFmtId="0" fontId="2" fillId="2" borderId="0" xfId="0" applyFont="1" applyFill="1" applyAlignment="1">
      <alignment horizontal="center" vertical="center"/>
    </xf>
    <xf numFmtId="0" fontId="10" fillId="2" borderId="6"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7" xfId="0" applyFont="1" applyFill="1" applyBorder="1" applyAlignment="1">
      <alignment horizontal="center" vertical="center"/>
    </xf>
    <xf numFmtId="0" fontId="10" fillId="2" borderId="10" xfId="0" applyFont="1" applyFill="1" applyBorder="1" applyAlignment="1">
      <alignment horizontal="center" vertical="center"/>
    </xf>
    <xf numFmtId="0" fontId="10" fillId="2" borderId="11" xfId="0" applyFont="1" applyFill="1" applyBorder="1" applyAlignment="1">
      <alignment horizontal="center" vertical="center"/>
    </xf>
    <xf numFmtId="0" fontId="10" fillId="2" borderId="12" xfId="0" applyFont="1" applyFill="1" applyBorder="1" applyAlignment="1">
      <alignment horizontal="center" vertical="center"/>
    </xf>
    <xf numFmtId="0" fontId="2" fillId="0" borderId="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3" xfId="0" applyFont="1" applyFill="1" applyBorder="1" applyAlignment="1">
      <alignment horizontal="center"/>
    </xf>
    <xf numFmtId="0" fontId="2" fillId="0" borderId="4" xfId="0" applyFont="1" applyFill="1" applyBorder="1" applyAlignment="1">
      <alignment horizontal="center"/>
    </xf>
    <xf numFmtId="0" fontId="2" fillId="0" borderId="5" xfId="0" applyFont="1" applyFill="1" applyBorder="1" applyAlignment="1">
      <alignment horizontal="center"/>
    </xf>
    <xf numFmtId="0" fontId="2" fillId="2" borderId="6" xfId="0" applyFont="1" applyFill="1" applyBorder="1" applyAlignment="1">
      <alignment horizontal="right" vertical="center" wrapText="1" readingOrder="2"/>
    </xf>
    <xf numFmtId="0" fontId="2" fillId="2" borderId="2" xfId="0" applyFont="1" applyFill="1" applyBorder="1" applyAlignment="1">
      <alignment horizontal="right" vertical="center" wrapText="1" readingOrder="2"/>
    </xf>
    <xf numFmtId="0" fontId="2" fillId="2" borderId="7" xfId="0" applyFont="1" applyFill="1" applyBorder="1" applyAlignment="1">
      <alignment horizontal="right" vertical="center" wrapText="1" readingOrder="2"/>
    </xf>
    <xf numFmtId="0" fontId="2" fillId="2" borderId="8" xfId="0" applyFont="1" applyFill="1" applyBorder="1" applyAlignment="1">
      <alignment horizontal="right" vertical="center" wrapText="1" readingOrder="2"/>
    </xf>
    <xf numFmtId="0" fontId="2" fillId="2" borderId="0" xfId="0" applyFont="1" applyFill="1" applyBorder="1" applyAlignment="1">
      <alignment horizontal="right" vertical="center" wrapText="1" readingOrder="2"/>
    </xf>
    <xf numFmtId="0" fontId="2" fillId="2" borderId="9" xfId="0" applyFont="1" applyFill="1" applyBorder="1" applyAlignment="1">
      <alignment horizontal="right" vertical="center" wrapText="1" readingOrder="2"/>
    </xf>
    <xf numFmtId="0" fontId="2" fillId="2" borderId="10" xfId="0" applyFont="1" applyFill="1" applyBorder="1" applyAlignment="1">
      <alignment horizontal="right" vertical="center" wrapText="1" readingOrder="2"/>
    </xf>
    <xf numFmtId="0" fontId="2" fillId="2" borderId="11" xfId="0" applyFont="1" applyFill="1" applyBorder="1" applyAlignment="1">
      <alignment horizontal="right" vertical="center" wrapText="1" readingOrder="2"/>
    </xf>
    <xf numFmtId="0" fontId="2" fillId="2" borderId="12" xfId="0" applyFont="1" applyFill="1" applyBorder="1" applyAlignment="1">
      <alignment horizontal="right" vertical="center" wrapText="1" readingOrder="2"/>
    </xf>
    <xf numFmtId="0" fontId="2" fillId="2" borderId="6" xfId="0" applyFont="1" applyFill="1" applyBorder="1" applyAlignment="1">
      <alignment horizontal="right" vertical="top" wrapText="1" readingOrder="2"/>
    </xf>
    <xf numFmtId="0" fontId="2" fillId="2" borderId="2" xfId="0" applyFont="1" applyFill="1" applyBorder="1" applyAlignment="1">
      <alignment horizontal="right" vertical="top" wrapText="1" readingOrder="2"/>
    </xf>
    <xf numFmtId="0" fontId="2" fillId="2" borderId="7" xfId="0" applyFont="1" applyFill="1" applyBorder="1" applyAlignment="1">
      <alignment horizontal="right" vertical="top" wrapText="1" readingOrder="2"/>
    </xf>
    <xf numFmtId="0" fontId="2" fillId="2" borderId="8" xfId="0" applyFont="1" applyFill="1" applyBorder="1" applyAlignment="1">
      <alignment horizontal="right" vertical="top" wrapText="1" readingOrder="2"/>
    </xf>
    <xf numFmtId="0" fontId="2" fillId="2" borderId="0" xfId="0" applyFont="1" applyFill="1" applyBorder="1" applyAlignment="1">
      <alignment horizontal="right" vertical="top" wrapText="1" readingOrder="2"/>
    </xf>
    <xf numFmtId="0" fontId="2" fillId="2" borderId="9" xfId="0" applyFont="1" applyFill="1" applyBorder="1" applyAlignment="1">
      <alignment horizontal="right" vertical="top" wrapText="1" readingOrder="2"/>
    </xf>
    <xf numFmtId="0" fontId="2" fillId="2" borderId="10" xfId="0" applyFont="1" applyFill="1" applyBorder="1" applyAlignment="1">
      <alignment horizontal="right" vertical="top" wrapText="1" readingOrder="2"/>
    </xf>
    <xf numFmtId="0" fontId="2" fillId="2" borderId="11" xfId="0" applyFont="1" applyFill="1" applyBorder="1" applyAlignment="1">
      <alignment horizontal="right" vertical="top" wrapText="1" readingOrder="2"/>
    </xf>
    <xf numFmtId="0" fontId="2" fillId="2" borderId="12" xfId="0" applyFont="1" applyFill="1" applyBorder="1" applyAlignment="1">
      <alignment horizontal="right" vertical="top" wrapText="1" readingOrder="2"/>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3" xfId="0" applyFont="1" applyBorder="1" applyAlignment="1">
      <alignment horizontal="center" vertical="center" wrapText="1" readingOrder="2"/>
    </xf>
    <xf numFmtId="0" fontId="2" fillId="0" borderId="4" xfId="0" applyFont="1" applyBorder="1" applyAlignment="1">
      <alignment horizontal="center" vertical="center" wrapText="1" readingOrder="2"/>
    </xf>
    <xf numFmtId="0" fontId="2" fillId="0" borderId="5" xfId="0" applyFont="1" applyBorder="1" applyAlignment="1">
      <alignment horizontal="center" vertical="center" wrapText="1" readingOrder="2"/>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6" fillId="2" borderId="0" xfId="0" applyFont="1" applyFill="1" applyBorder="1" applyAlignment="1">
      <alignment horizontal="center" vertical="center"/>
    </xf>
    <xf numFmtId="0" fontId="2" fillId="2" borderId="1" xfId="0" applyFont="1" applyFill="1" applyBorder="1" applyAlignment="1">
      <alignment horizontal="center"/>
    </xf>
    <xf numFmtId="0" fontId="2" fillId="0" borderId="1" xfId="0" applyFont="1" applyBorder="1" applyAlignment="1">
      <alignment horizontal="center"/>
    </xf>
    <xf numFmtId="1" fontId="2" fillId="0" borderId="1" xfId="0" applyNumberFormat="1" applyFont="1" applyBorder="1" applyAlignment="1">
      <alignment horizontal="center"/>
    </xf>
    <xf numFmtId="0" fontId="2" fillId="0" borderId="13" xfId="0" applyFont="1" applyBorder="1" applyAlignment="1">
      <alignment horizontal="center"/>
    </xf>
    <xf numFmtId="0" fontId="2" fillId="0" borderId="1" xfId="0" applyFont="1" applyBorder="1" applyAlignment="1">
      <alignment horizontal="right"/>
    </xf>
    <xf numFmtId="0" fontId="9" fillId="0" borderId="0" xfId="0" applyFont="1" applyBorder="1" applyAlignment="1">
      <alignment horizontal="center" vertical="top" wrapText="1"/>
    </xf>
    <xf numFmtId="0" fontId="9" fillId="0" borderId="9" xfId="0" applyFont="1" applyBorder="1" applyAlignment="1">
      <alignment horizontal="center" vertical="top" wrapText="1"/>
    </xf>
    <xf numFmtId="0" fontId="2" fillId="0" borderId="6" xfId="0" applyFont="1" applyFill="1" applyBorder="1" applyAlignment="1">
      <alignment horizontal="right" vertical="top" wrapText="1"/>
    </xf>
    <xf numFmtId="0" fontId="2" fillId="0" borderId="2" xfId="0" applyFont="1" applyFill="1" applyBorder="1" applyAlignment="1">
      <alignment horizontal="right" vertical="top" wrapText="1"/>
    </xf>
    <xf numFmtId="0" fontId="2" fillId="0" borderId="7" xfId="0" applyFont="1" applyFill="1" applyBorder="1" applyAlignment="1">
      <alignment horizontal="right" vertical="top" wrapText="1"/>
    </xf>
    <xf numFmtId="0" fontId="2" fillId="0" borderId="8" xfId="0" applyFont="1" applyFill="1" applyBorder="1" applyAlignment="1">
      <alignment horizontal="right" vertical="top" wrapText="1"/>
    </xf>
    <xf numFmtId="0" fontId="2" fillId="0" borderId="0" xfId="0" applyFont="1" applyFill="1" applyBorder="1" applyAlignment="1">
      <alignment horizontal="right" vertical="top" wrapText="1"/>
    </xf>
    <xf numFmtId="0" fontId="2" fillId="0" borderId="9" xfId="0" applyFont="1" applyFill="1" applyBorder="1" applyAlignment="1">
      <alignment horizontal="right" vertical="top" wrapText="1"/>
    </xf>
    <xf numFmtId="0" fontId="2" fillId="0" borderId="10" xfId="0" applyFont="1" applyFill="1" applyBorder="1" applyAlignment="1">
      <alignment horizontal="right" vertical="top" wrapText="1"/>
    </xf>
    <xf numFmtId="0" fontId="2" fillId="0" borderId="11" xfId="0" applyFont="1" applyFill="1" applyBorder="1" applyAlignment="1">
      <alignment horizontal="right" vertical="top" wrapText="1"/>
    </xf>
    <xf numFmtId="0" fontId="2" fillId="0" borderId="12" xfId="0" applyFont="1" applyFill="1" applyBorder="1" applyAlignment="1">
      <alignment horizontal="right" vertical="top" wrapText="1"/>
    </xf>
    <xf numFmtId="0" fontId="6" fillId="2" borderId="8" xfId="0" applyFont="1" applyFill="1" applyBorder="1" applyAlignment="1">
      <alignment horizontal="center" vertical="top"/>
    </xf>
    <xf numFmtId="0" fontId="6" fillId="2" borderId="0" xfId="0" applyFont="1" applyFill="1" applyBorder="1" applyAlignment="1">
      <alignment horizontal="center" vertical="top"/>
    </xf>
    <xf numFmtId="0" fontId="6" fillId="0" borderId="0" xfId="0" applyFont="1" applyBorder="1" applyAlignment="1">
      <alignment horizontal="center" vertical="top" wrapText="1"/>
    </xf>
    <xf numFmtId="0" fontId="6" fillId="0" borderId="9" xfId="0" applyFont="1" applyBorder="1" applyAlignment="1">
      <alignment horizontal="center" vertical="top" wrapText="1"/>
    </xf>
    <xf numFmtId="0" fontId="6" fillId="2" borderId="6" xfId="0" applyFont="1" applyFill="1" applyBorder="1" applyAlignment="1">
      <alignment horizontal="left" vertical="top"/>
    </xf>
    <xf numFmtId="0" fontId="6" fillId="2" borderId="2" xfId="0" applyFont="1" applyFill="1" applyBorder="1" applyAlignment="1">
      <alignment horizontal="left" vertical="top"/>
    </xf>
    <xf numFmtId="0" fontId="6" fillId="2" borderId="7" xfId="0" applyFont="1" applyFill="1" applyBorder="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8" xfId="0" applyFont="1" applyFill="1" applyBorder="1" applyAlignment="1">
      <alignment horizontal="right" vertical="top"/>
    </xf>
    <xf numFmtId="0" fontId="6" fillId="2" borderId="0" xfId="0" applyFont="1" applyFill="1" applyBorder="1" applyAlignment="1">
      <alignment horizontal="right" vertical="top"/>
    </xf>
    <xf numFmtId="0" fontId="2" fillId="2" borderId="6" xfId="0" applyFont="1" applyFill="1" applyBorder="1" applyAlignment="1">
      <alignment horizontal="center"/>
    </xf>
    <xf numFmtId="0" fontId="2" fillId="2" borderId="2" xfId="0" applyFont="1" applyFill="1" applyBorder="1" applyAlignment="1">
      <alignment horizontal="center"/>
    </xf>
    <xf numFmtId="0" fontId="2" fillId="2" borderId="7" xfId="0" applyFont="1" applyFill="1" applyBorder="1" applyAlignment="1">
      <alignment horizontal="center"/>
    </xf>
    <xf numFmtId="0" fontId="2" fillId="2" borderId="10" xfId="0" applyFont="1" applyFill="1" applyBorder="1" applyAlignment="1">
      <alignment horizontal="center"/>
    </xf>
    <xf numFmtId="0" fontId="2" fillId="2" borderId="11" xfId="0" applyFont="1" applyFill="1" applyBorder="1" applyAlignment="1">
      <alignment horizontal="center"/>
    </xf>
    <xf numFmtId="0" fontId="2" fillId="2" borderId="12" xfId="0" applyFont="1" applyFill="1" applyBorder="1" applyAlignment="1">
      <alignment horizontal="center"/>
    </xf>
    <xf numFmtId="0" fontId="2" fillId="2" borderId="6" xfId="0" applyFont="1" applyFill="1" applyBorder="1" applyAlignment="1">
      <alignment horizontal="right" vertical="top" wrapText="1"/>
    </xf>
    <xf numFmtId="0" fontId="2" fillId="2" borderId="2" xfId="0" applyFont="1" applyFill="1" applyBorder="1" applyAlignment="1">
      <alignment horizontal="right" vertical="top" wrapText="1"/>
    </xf>
    <xf numFmtId="0" fontId="2" fillId="2" borderId="7" xfId="0" applyFont="1" applyFill="1" applyBorder="1" applyAlignment="1">
      <alignment horizontal="right" vertical="top" wrapText="1"/>
    </xf>
    <xf numFmtId="0" fontId="2" fillId="2" borderId="8" xfId="0" applyFont="1" applyFill="1" applyBorder="1" applyAlignment="1">
      <alignment horizontal="right" vertical="top" wrapText="1"/>
    </xf>
    <xf numFmtId="0" fontId="2" fillId="2" borderId="0" xfId="0" applyFont="1" applyFill="1" applyBorder="1" applyAlignment="1">
      <alignment horizontal="right" vertical="top" wrapText="1"/>
    </xf>
    <xf numFmtId="0" fontId="2" fillId="2" borderId="9" xfId="0" applyFont="1" applyFill="1" applyBorder="1" applyAlignment="1">
      <alignment horizontal="right" vertical="top" wrapText="1"/>
    </xf>
    <xf numFmtId="0" fontId="2" fillId="2" borderId="10" xfId="0" applyFont="1" applyFill="1" applyBorder="1" applyAlignment="1">
      <alignment horizontal="right" vertical="top" wrapText="1"/>
    </xf>
    <xf numFmtId="0" fontId="2" fillId="2" borderId="11" xfId="0" applyFont="1" applyFill="1" applyBorder="1" applyAlignment="1">
      <alignment horizontal="right" vertical="top" wrapText="1"/>
    </xf>
    <xf numFmtId="0" fontId="2" fillId="2" borderId="12" xfId="0" applyFont="1" applyFill="1" applyBorder="1" applyAlignment="1">
      <alignment horizontal="right" vertical="top" wrapText="1"/>
    </xf>
    <xf numFmtId="0" fontId="2" fillId="2" borderId="6"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0" borderId="8" xfId="0" applyFont="1" applyBorder="1" applyAlignment="1">
      <alignment horizontal="right" vertical="top" wrapText="1" indent="1"/>
    </xf>
    <xf numFmtId="0" fontId="2" fillId="0" borderId="0" xfId="0" applyFont="1" applyBorder="1" applyAlignment="1">
      <alignment horizontal="right" vertical="top" wrapText="1" indent="1"/>
    </xf>
    <xf numFmtId="0" fontId="2" fillId="0" borderId="9" xfId="0" applyFont="1" applyBorder="1" applyAlignment="1">
      <alignment horizontal="right" vertical="top" wrapText="1" indent="1"/>
    </xf>
    <xf numFmtId="0" fontId="2" fillId="0" borderId="0" xfId="0" applyFont="1" applyBorder="1" applyAlignment="1">
      <alignment horizontal="center"/>
    </xf>
    <xf numFmtId="164" fontId="2" fillId="0" borderId="3" xfId="1" applyNumberFormat="1" applyFont="1" applyBorder="1" applyAlignment="1">
      <alignment horizontal="center" vertical="center"/>
    </xf>
    <xf numFmtId="164" fontId="2" fillId="0" borderId="4" xfId="1" applyNumberFormat="1" applyFont="1" applyBorder="1" applyAlignment="1">
      <alignment horizontal="center" vertical="center"/>
    </xf>
    <xf numFmtId="164" fontId="2" fillId="0" borderId="5" xfId="1" applyNumberFormat="1" applyFont="1" applyBorder="1" applyAlignment="1">
      <alignment horizontal="center" vertical="center"/>
    </xf>
    <xf numFmtId="0" fontId="2" fillId="2" borderId="3" xfId="0" applyFont="1" applyFill="1" applyBorder="1" applyAlignment="1">
      <alignment horizontal="right"/>
    </xf>
    <xf numFmtId="0" fontId="2" fillId="2" borderId="4" xfId="0" applyFont="1" applyFill="1" applyBorder="1" applyAlignment="1">
      <alignment horizontal="right"/>
    </xf>
    <xf numFmtId="0" fontId="2" fillId="2" borderId="5" xfId="0" applyFont="1" applyFill="1" applyBorder="1" applyAlignment="1">
      <alignment horizontal="right"/>
    </xf>
    <xf numFmtId="0" fontId="2" fillId="0" borderId="9" xfId="0" applyFont="1" applyBorder="1" applyAlignment="1">
      <alignment horizontal="center"/>
    </xf>
    <xf numFmtId="0" fontId="2" fillId="0" borderId="2" xfId="0" applyFont="1" applyBorder="1" applyAlignment="1">
      <alignment horizontal="right" vertical="top" wrapText="1"/>
    </xf>
    <xf numFmtId="0" fontId="2" fillId="0" borderId="0" xfId="0" applyFont="1" applyBorder="1" applyAlignment="1">
      <alignment horizontal="right" vertical="top" wrapText="1"/>
    </xf>
    <xf numFmtId="0" fontId="4" fillId="0" borderId="0" xfId="0" applyFont="1" applyFill="1" applyBorder="1" applyAlignment="1">
      <alignment horizontal="center" vertical="center"/>
    </xf>
    <xf numFmtId="0" fontId="6" fillId="0" borderId="0" xfId="0" applyFont="1" applyFill="1" applyBorder="1" applyAlignment="1">
      <alignment horizontal="center"/>
    </xf>
    <xf numFmtId="1" fontId="2" fillId="2" borderId="2" xfId="0" applyNumberFormat="1" applyFont="1" applyFill="1" applyBorder="1" applyAlignment="1">
      <alignment horizontal="center"/>
    </xf>
    <xf numFmtId="0" fontId="2" fillId="2" borderId="0" xfId="0" applyFont="1" applyFill="1" applyBorder="1" applyAlignment="1">
      <alignment horizontal="right"/>
    </xf>
    <xf numFmtId="0" fontId="2" fillId="2" borderId="8" xfId="0" applyFont="1" applyFill="1" applyBorder="1" applyAlignment="1">
      <alignment horizontal="center"/>
    </xf>
    <xf numFmtId="0" fontId="2" fillId="2" borderId="0" xfId="0" applyFont="1" applyFill="1" applyBorder="1" applyAlignment="1">
      <alignment horizontal="center"/>
    </xf>
    <xf numFmtId="0" fontId="2" fillId="0" borderId="8" xfId="0" applyFont="1" applyBorder="1" applyAlignment="1">
      <alignment horizontal="right" indent="1"/>
    </xf>
    <xf numFmtId="0" fontId="2" fillId="0" borderId="0" xfId="0" applyFont="1" applyBorder="1" applyAlignment="1">
      <alignment horizontal="right" indent="1"/>
    </xf>
    <xf numFmtId="0" fontId="2" fillId="0" borderId="9" xfId="0" applyFont="1" applyBorder="1" applyAlignment="1">
      <alignment horizontal="right" indent="1"/>
    </xf>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2" fillId="0" borderId="0" xfId="0" applyFont="1" applyBorder="1" applyAlignment="1">
      <alignment horizontal="center" vertical="top" wrapText="1"/>
    </xf>
    <xf numFmtId="0" fontId="8" fillId="2" borderId="0" xfId="0" applyFont="1" applyFill="1" applyBorder="1" applyAlignment="1">
      <alignment horizontal="center" vertical="center"/>
    </xf>
    <xf numFmtId="0" fontId="2" fillId="0" borderId="8" xfId="0" applyFont="1" applyBorder="1" applyAlignment="1">
      <alignment horizontal="right" vertical="top" wrapText="1"/>
    </xf>
    <xf numFmtId="0" fontId="2" fillId="0" borderId="9" xfId="0" applyFont="1" applyBorder="1" applyAlignment="1">
      <alignment horizontal="right" vertical="top" wrapText="1"/>
    </xf>
    <xf numFmtId="0" fontId="2" fillId="0" borderId="0" xfId="0" applyFont="1" applyBorder="1" applyAlignment="1">
      <alignment horizontal="right" vertical="top"/>
    </xf>
    <xf numFmtId="0" fontId="2" fillId="0" borderId="0" xfId="0" applyFont="1" applyAlignment="1">
      <alignment horizontal="center" wrapText="1"/>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13</xdr:col>
      <xdr:colOff>336095</xdr:colOff>
      <xdr:row>18</xdr:row>
      <xdr:rowOff>197303</xdr:rowOff>
    </xdr:from>
    <xdr:to>
      <xdr:col>15</xdr:col>
      <xdr:colOff>625928</xdr:colOff>
      <xdr:row>20</xdr:row>
      <xdr:rowOff>285750</xdr:rowOff>
    </xdr:to>
    <xdr:sp macro="[0]!chap_forms" textlink="">
      <xdr:nvSpPr>
        <xdr:cNvPr id="2" name="Rectangle: Rounded Corners 1">
          <a:extLst>
            <a:ext uri="{FF2B5EF4-FFF2-40B4-BE49-F238E27FC236}">
              <a16:creationId xmlns:a16="http://schemas.microsoft.com/office/drawing/2014/main" id="{1227D270-8D77-4DE0-9DB5-B72654D1DF64}"/>
            </a:ext>
          </a:extLst>
        </xdr:cNvPr>
        <xdr:cNvSpPr/>
      </xdr:nvSpPr>
      <xdr:spPr>
        <a:xfrm>
          <a:off x="11137800215" y="5558517"/>
          <a:ext cx="1977118" cy="700769"/>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1" anchor="ctr"/>
        <a:lstStyle/>
        <a:p>
          <a:pPr algn="ctr" rtl="1"/>
          <a:r>
            <a:rPr lang="fa-IR" sz="1400" b="1">
              <a:cs typeface="B Nazanin" panose="00000400000000000000" pitchFamily="2" charset="-78"/>
            </a:rPr>
            <a:t>چاب فرم ها</a:t>
          </a:r>
        </a:p>
      </xdr:txBody>
    </xdr:sp>
    <xdr:clientData/>
  </xdr:twoCellAnchor>
  <xdr:twoCellAnchor>
    <xdr:from>
      <xdr:col>15</xdr:col>
      <xdr:colOff>1347107</xdr:colOff>
      <xdr:row>18</xdr:row>
      <xdr:rowOff>204107</xdr:rowOff>
    </xdr:from>
    <xdr:to>
      <xdr:col>18</xdr:col>
      <xdr:colOff>367393</xdr:colOff>
      <xdr:row>20</xdr:row>
      <xdr:rowOff>258536</xdr:rowOff>
    </xdr:to>
    <xdr:sp macro="[0]!delete2" textlink="">
      <xdr:nvSpPr>
        <xdr:cNvPr id="3" name="Rectangle: Rounded Corners 2">
          <a:extLst>
            <a:ext uri="{FF2B5EF4-FFF2-40B4-BE49-F238E27FC236}">
              <a16:creationId xmlns:a16="http://schemas.microsoft.com/office/drawing/2014/main" id="{91996253-73BA-D9CF-7058-7FBEFDF5529C}"/>
            </a:ext>
          </a:extLst>
        </xdr:cNvPr>
        <xdr:cNvSpPr/>
      </xdr:nvSpPr>
      <xdr:spPr>
        <a:xfrm>
          <a:off x="11135242071" y="5524500"/>
          <a:ext cx="1836965" cy="653143"/>
        </a:xfrm>
        <a:prstGeom prst="roundRect">
          <a:avLst/>
        </a:prstGeom>
        <a:solidFill>
          <a:srgbClr val="FF000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b="1">
              <a:cs typeface="B Nazanin" panose="00000400000000000000" pitchFamily="2" charset="-78"/>
            </a:rPr>
            <a:t>پاک کردن اطلاعات</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381000</xdr:colOff>
      <xdr:row>0</xdr:row>
      <xdr:rowOff>171450</xdr:rowOff>
    </xdr:from>
    <xdr:to>
      <xdr:col>3</xdr:col>
      <xdr:colOff>501798</xdr:colOff>
      <xdr:row>3</xdr:row>
      <xdr:rowOff>219075</xdr:rowOff>
    </xdr:to>
    <xdr:pic>
      <xdr:nvPicPr>
        <xdr:cNvPr id="2" name="Picture 1">
          <a:extLst>
            <a:ext uri="{FF2B5EF4-FFF2-40B4-BE49-F238E27FC236}">
              <a16:creationId xmlns:a16="http://schemas.microsoft.com/office/drawing/2014/main" id="{69C2BDD4-D441-4E0A-9A97-A42D741FEC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33635627" y="171450"/>
          <a:ext cx="758973"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161925</xdr:colOff>
      <xdr:row>2</xdr:row>
      <xdr:rowOff>76200</xdr:rowOff>
    </xdr:from>
    <xdr:to>
      <xdr:col>4</xdr:col>
      <xdr:colOff>219075</xdr:colOff>
      <xdr:row>6</xdr:row>
      <xdr:rowOff>30734</xdr:rowOff>
    </xdr:to>
    <xdr:pic>
      <xdr:nvPicPr>
        <xdr:cNvPr id="2" name="Picture 1">
          <a:extLst>
            <a:ext uri="{FF2B5EF4-FFF2-40B4-BE49-F238E27FC236}">
              <a16:creationId xmlns:a16="http://schemas.microsoft.com/office/drawing/2014/main" id="{75E39FDC-FD1E-4112-8F4C-96D7ED02D6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33508775" y="76200"/>
          <a:ext cx="742950" cy="783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619125</xdr:colOff>
      <xdr:row>0</xdr:row>
      <xdr:rowOff>66675</xdr:rowOff>
    </xdr:from>
    <xdr:to>
      <xdr:col>4</xdr:col>
      <xdr:colOff>676275</xdr:colOff>
      <xdr:row>4</xdr:row>
      <xdr:rowOff>125984</xdr:rowOff>
    </xdr:to>
    <xdr:pic>
      <xdr:nvPicPr>
        <xdr:cNvPr id="2" name="Picture 1">
          <a:extLst>
            <a:ext uri="{FF2B5EF4-FFF2-40B4-BE49-F238E27FC236}">
              <a16:creationId xmlns:a16="http://schemas.microsoft.com/office/drawing/2014/main" id="{25C4AB96-FC4C-4B04-8A7A-CF5E323B643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32889650" y="66675"/>
          <a:ext cx="742950" cy="783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104775</xdr:colOff>
      <xdr:row>5</xdr:row>
      <xdr:rowOff>19051</xdr:rowOff>
    </xdr:from>
    <xdr:to>
      <xdr:col>4</xdr:col>
      <xdr:colOff>349398</xdr:colOff>
      <xdr:row>7</xdr:row>
      <xdr:rowOff>247651</xdr:rowOff>
    </xdr:to>
    <xdr:pic>
      <xdr:nvPicPr>
        <xdr:cNvPr id="2" name="Picture 1">
          <a:extLst>
            <a:ext uri="{FF2B5EF4-FFF2-40B4-BE49-F238E27FC236}">
              <a16:creationId xmlns:a16="http://schemas.microsoft.com/office/drawing/2014/main" id="{1D3B2631-942B-1E0D-0FF9-0F0A6D7BE15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35073902" y="923926"/>
          <a:ext cx="758973"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371475</xdr:colOff>
      <xdr:row>3</xdr:row>
      <xdr:rowOff>0</xdr:rowOff>
    </xdr:from>
    <xdr:to>
      <xdr:col>4</xdr:col>
      <xdr:colOff>444648</xdr:colOff>
      <xdr:row>5</xdr:row>
      <xdr:rowOff>285750</xdr:rowOff>
    </xdr:to>
    <xdr:pic>
      <xdr:nvPicPr>
        <xdr:cNvPr id="2" name="Picture 1">
          <a:extLst>
            <a:ext uri="{FF2B5EF4-FFF2-40B4-BE49-F238E27FC236}">
              <a16:creationId xmlns:a16="http://schemas.microsoft.com/office/drawing/2014/main" id="{653DDD00-988E-40B8-8E01-C5E0C794835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33207002" y="542925"/>
          <a:ext cx="758973"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590550</xdr:colOff>
      <xdr:row>1</xdr:row>
      <xdr:rowOff>142875</xdr:rowOff>
    </xdr:from>
    <xdr:to>
      <xdr:col>2</xdr:col>
      <xdr:colOff>647700</xdr:colOff>
      <xdr:row>4</xdr:row>
      <xdr:rowOff>145034</xdr:rowOff>
    </xdr:to>
    <xdr:pic>
      <xdr:nvPicPr>
        <xdr:cNvPr id="2" name="Picture 1">
          <a:extLst>
            <a:ext uri="{FF2B5EF4-FFF2-40B4-BE49-F238E27FC236}">
              <a16:creationId xmlns:a16="http://schemas.microsoft.com/office/drawing/2014/main" id="{4DB59935-C3E2-4FB2-AB3A-137584B26E9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37033025" y="323850"/>
          <a:ext cx="742950" cy="783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6281A-A212-419D-A8AC-D8B587D12DAE}">
  <sheetPr codeName="Sheet2">
    <tabColor theme="9"/>
  </sheetPr>
  <dimension ref="C1:AK65"/>
  <sheetViews>
    <sheetView rightToLeft="1" tabSelected="1" zoomScale="70" zoomScaleNormal="70" workbookViewId="0">
      <selection activeCell="D22" sqref="D22"/>
    </sheetView>
  </sheetViews>
  <sheetFormatPr defaultRowHeight="15"/>
  <cols>
    <col min="1" max="2" width="9" style="78"/>
    <col min="3" max="3" width="16.875" style="78" customWidth="1"/>
    <col min="4" max="4" width="37.5" style="78" customWidth="1"/>
    <col min="5" max="5" width="9" style="78"/>
    <col min="6" max="6" width="15.625" style="79" bestFit="1" customWidth="1"/>
    <col min="7" max="9" width="15.25" style="78" customWidth="1"/>
    <col min="10" max="10" width="16.125" style="78" bestFit="1" customWidth="1"/>
    <col min="11" max="11" width="9" style="78"/>
    <col min="12" max="12" width="24.25" style="78" bestFit="1" customWidth="1"/>
    <col min="13" max="13" width="11.5" style="78" customWidth="1"/>
    <col min="14" max="14" width="10.75" style="78" customWidth="1"/>
    <col min="15" max="15" width="11.5" style="78" customWidth="1"/>
    <col min="16" max="16" width="17.875" style="78" bestFit="1" customWidth="1"/>
    <col min="17" max="17" width="10.25" style="78" bestFit="1" customWidth="1"/>
    <col min="18" max="32" width="9" style="78"/>
    <col min="33" max="35" width="9" style="80"/>
    <col min="36" max="36" width="15.25" style="80" bestFit="1" customWidth="1"/>
    <col min="37" max="37" width="14.25" style="80" bestFit="1" customWidth="1"/>
    <col min="38" max="16384" width="9" style="78"/>
  </cols>
  <sheetData>
    <row r="1" spans="3:36" ht="15.75" thickBot="1">
      <c r="AJ1" s="81">
        <f>DATE(2028,6,5)</f>
        <v>46909</v>
      </c>
    </row>
    <row r="2" spans="3:36" ht="18" customHeight="1" thickTop="1">
      <c r="C2" s="162" t="s">
        <v>11</v>
      </c>
      <c r="D2" s="163"/>
      <c r="E2" s="82"/>
      <c r="F2" s="169" t="s">
        <v>12</v>
      </c>
      <c r="G2" s="170"/>
      <c r="H2" s="170"/>
      <c r="I2" s="170"/>
      <c r="J2" s="171"/>
      <c r="L2" s="175" t="s">
        <v>16</v>
      </c>
      <c r="M2" s="176"/>
      <c r="N2" s="176"/>
      <c r="O2" s="176"/>
      <c r="P2" s="176"/>
      <c r="Q2" s="177"/>
    </row>
    <row r="3" spans="3:36" ht="18" customHeight="1">
      <c r="C3" s="164"/>
      <c r="D3" s="165"/>
      <c r="E3" s="82"/>
      <c r="F3" s="172"/>
      <c r="G3" s="173"/>
      <c r="H3" s="173"/>
      <c r="I3" s="173"/>
      <c r="J3" s="174"/>
      <c r="L3" s="178"/>
      <c r="M3" s="179"/>
      <c r="N3" s="179"/>
      <c r="O3" s="179"/>
      <c r="P3" s="179"/>
      <c r="Q3" s="180"/>
    </row>
    <row r="4" spans="3:36" ht="24">
      <c r="C4" s="83" t="s">
        <v>3</v>
      </c>
      <c r="D4" s="84"/>
      <c r="E4" s="82"/>
      <c r="F4" s="85" t="s">
        <v>61</v>
      </c>
      <c r="G4" s="86" t="s">
        <v>13</v>
      </c>
      <c r="H4" s="86" t="s">
        <v>14</v>
      </c>
      <c r="I4" s="86" t="s">
        <v>15</v>
      </c>
      <c r="J4" s="87" t="s">
        <v>57</v>
      </c>
      <c r="L4" s="88" t="s">
        <v>17</v>
      </c>
      <c r="M4" s="89" t="s">
        <v>18</v>
      </c>
      <c r="N4" s="89" t="s">
        <v>19</v>
      </c>
      <c r="O4" s="89" t="s">
        <v>70</v>
      </c>
      <c r="P4" s="90" t="s">
        <v>68</v>
      </c>
      <c r="Q4" s="91" t="s">
        <v>69</v>
      </c>
    </row>
    <row r="5" spans="3:36" ht="24">
      <c r="C5" s="83" t="s">
        <v>0</v>
      </c>
      <c r="D5" s="92"/>
      <c r="E5" s="82"/>
      <c r="F5" s="93">
        <v>1</v>
      </c>
      <c r="G5" s="94"/>
      <c r="H5" s="94"/>
      <c r="I5" s="94"/>
      <c r="J5" s="95"/>
      <c r="L5" s="119" t="s">
        <v>96</v>
      </c>
      <c r="M5" s="89"/>
      <c r="N5" s="89"/>
      <c r="O5" s="89"/>
      <c r="P5" s="96"/>
      <c r="Q5" s="97"/>
    </row>
    <row r="6" spans="3:36" ht="24">
      <c r="C6" s="83" t="s">
        <v>4</v>
      </c>
      <c r="D6" s="92">
        <v>160300</v>
      </c>
      <c r="E6" s="82"/>
      <c r="F6" s="93">
        <v>2</v>
      </c>
      <c r="G6" s="94"/>
      <c r="H6" s="94"/>
      <c r="I6" s="94"/>
      <c r="J6" s="95"/>
      <c r="L6" s="119" t="s">
        <v>42</v>
      </c>
      <c r="M6" s="89"/>
      <c r="N6" s="89"/>
      <c r="O6" s="89"/>
      <c r="P6" s="96"/>
      <c r="Q6" s="97"/>
    </row>
    <row r="7" spans="3:36" ht="24">
      <c r="C7" s="83" t="s">
        <v>6</v>
      </c>
      <c r="D7" s="84" t="s">
        <v>22</v>
      </c>
      <c r="E7" s="82"/>
      <c r="F7" s="93">
        <v>3</v>
      </c>
      <c r="G7" s="94"/>
      <c r="H7" s="94"/>
      <c r="I7" s="94"/>
      <c r="J7" s="95"/>
      <c r="L7" s="119" t="s">
        <v>59</v>
      </c>
      <c r="M7" s="89"/>
      <c r="N7" s="89"/>
      <c r="O7" s="89"/>
      <c r="P7" s="96"/>
      <c r="Q7" s="97"/>
    </row>
    <row r="8" spans="3:36" ht="24">
      <c r="C8" s="83" t="s">
        <v>5</v>
      </c>
      <c r="D8" s="84" t="s">
        <v>23</v>
      </c>
      <c r="E8" s="82"/>
      <c r="F8" s="93">
        <v>4</v>
      </c>
      <c r="G8" s="94"/>
      <c r="H8" s="94"/>
      <c r="I8" s="94"/>
      <c r="J8" s="95"/>
      <c r="L8" s="119" t="s">
        <v>26</v>
      </c>
      <c r="M8" s="89"/>
      <c r="N8" s="89"/>
      <c r="O8" s="89"/>
      <c r="P8" s="96"/>
      <c r="Q8" s="97"/>
    </row>
    <row r="9" spans="3:36" ht="24">
      <c r="C9" s="83" t="s">
        <v>1</v>
      </c>
      <c r="D9" s="84"/>
      <c r="E9" s="82"/>
      <c r="F9" s="93">
        <v>5</v>
      </c>
      <c r="G9" s="94"/>
      <c r="H9" s="94"/>
      <c r="I9" s="94"/>
      <c r="J9" s="95"/>
      <c r="L9" s="119" t="s">
        <v>67</v>
      </c>
      <c r="M9" s="89"/>
      <c r="N9" s="89"/>
      <c r="O9" s="89"/>
      <c r="P9" s="96"/>
      <c r="Q9" s="97"/>
      <c r="AJ9" s="80" t="s">
        <v>24</v>
      </c>
    </row>
    <row r="10" spans="3:36" ht="24">
      <c r="C10" s="83" t="s">
        <v>2</v>
      </c>
      <c r="D10" s="84"/>
      <c r="E10" s="82"/>
      <c r="F10" s="93">
        <v>6</v>
      </c>
      <c r="G10" s="94"/>
      <c r="H10" s="94"/>
      <c r="I10" s="94"/>
      <c r="J10" s="95"/>
      <c r="L10" s="120" t="s">
        <v>71</v>
      </c>
      <c r="M10" s="98"/>
      <c r="N10" s="89"/>
      <c r="O10" s="98"/>
      <c r="P10" s="96"/>
      <c r="Q10" s="97"/>
      <c r="AJ10" s="80" t="s">
        <v>97</v>
      </c>
    </row>
    <row r="11" spans="3:36" ht="24">
      <c r="C11" s="83" t="s">
        <v>10</v>
      </c>
      <c r="D11" s="84"/>
      <c r="E11" s="82"/>
      <c r="F11" s="93">
        <v>7</v>
      </c>
      <c r="G11" s="94"/>
      <c r="H11" s="94"/>
      <c r="I11" s="94"/>
      <c r="J11" s="95"/>
      <c r="L11" s="119" t="s">
        <v>73</v>
      </c>
      <c r="M11" s="98"/>
      <c r="N11" s="89"/>
      <c r="O11" s="99"/>
      <c r="P11" s="100"/>
      <c r="Q11" s="97"/>
      <c r="AJ11" s="80" t="s">
        <v>98</v>
      </c>
    </row>
    <row r="12" spans="3:36" ht="24">
      <c r="C12" s="83" t="s">
        <v>7</v>
      </c>
      <c r="D12" s="84" t="s">
        <v>25</v>
      </c>
      <c r="E12" s="82"/>
      <c r="F12" s="93">
        <v>8</v>
      </c>
      <c r="G12" s="94"/>
      <c r="H12" s="94"/>
      <c r="I12" s="94"/>
      <c r="J12" s="95"/>
      <c r="L12" s="119"/>
      <c r="M12" s="99"/>
      <c r="N12" s="89"/>
      <c r="O12" s="99"/>
      <c r="P12" s="100"/>
      <c r="Q12" s="97"/>
    </row>
    <row r="13" spans="3:36" ht="24">
      <c r="C13" s="83" t="s">
        <v>8</v>
      </c>
      <c r="D13" s="84" t="s">
        <v>141</v>
      </c>
      <c r="E13" s="82"/>
      <c r="F13" s="93">
        <v>9</v>
      </c>
      <c r="G13" s="94"/>
      <c r="H13" s="94"/>
      <c r="I13" s="94"/>
      <c r="J13" s="95"/>
      <c r="L13" s="119"/>
      <c r="M13" s="99"/>
      <c r="N13" s="89"/>
      <c r="O13" s="99"/>
      <c r="P13" s="100"/>
      <c r="Q13" s="97"/>
    </row>
    <row r="14" spans="3:36" ht="24">
      <c r="C14" s="83" t="s">
        <v>9</v>
      </c>
      <c r="D14" s="84" t="s">
        <v>142</v>
      </c>
      <c r="E14" s="82"/>
      <c r="F14" s="93">
        <v>10</v>
      </c>
      <c r="G14" s="94"/>
      <c r="H14" s="94"/>
      <c r="I14" s="94"/>
      <c r="J14" s="95"/>
      <c r="L14" s="119"/>
      <c r="M14" s="99"/>
      <c r="N14" s="89"/>
      <c r="O14" s="99"/>
      <c r="P14" s="100"/>
      <c r="Q14" s="97"/>
    </row>
    <row r="15" spans="3:36" ht="24.75" thickBot="1">
      <c r="C15" s="83" t="s">
        <v>20</v>
      </c>
      <c r="D15" s="84"/>
      <c r="E15" s="82"/>
      <c r="F15" s="93">
        <v>11</v>
      </c>
      <c r="G15" s="94"/>
      <c r="H15" s="94"/>
      <c r="I15" s="94"/>
      <c r="J15" s="95"/>
      <c r="L15" s="115" t="s">
        <v>58</v>
      </c>
      <c r="M15" s="116"/>
      <c r="N15" s="116"/>
      <c r="O15" s="116"/>
      <c r="P15" s="117"/>
      <c r="Q15" s="118"/>
    </row>
    <row r="16" spans="3:36" ht="24.75" thickTop="1">
      <c r="C16" s="83" t="s">
        <v>21</v>
      </c>
      <c r="D16" s="84"/>
      <c r="E16" s="82"/>
      <c r="F16" s="93">
        <v>12</v>
      </c>
      <c r="G16" s="94"/>
      <c r="H16" s="94"/>
      <c r="I16" s="94"/>
      <c r="J16" s="95"/>
    </row>
    <row r="17" spans="3:37" ht="24">
      <c r="C17" s="83" t="s">
        <v>27</v>
      </c>
      <c r="D17" s="84"/>
      <c r="E17" s="82"/>
      <c r="F17" s="93">
        <v>13</v>
      </c>
      <c r="G17" s="94"/>
      <c r="H17" s="94"/>
      <c r="I17" s="94"/>
      <c r="J17" s="95"/>
      <c r="AI17" s="101" t="s">
        <v>75</v>
      </c>
      <c r="AK17" s="102" t="s">
        <v>80</v>
      </c>
    </row>
    <row r="18" spans="3:37" ht="39" customHeight="1" thickBot="1">
      <c r="C18" s="83" t="s">
        <v>43</v>
      </c>
      <c r="D18" s="103"/>
      <c r="E18" s="82"/>
      <c r="F18" s="113" t="str">
        <f ca="1">IF(TODAY()&gt;=AJ1,"*فایل منقضی شد*","تعداد کل قبوض: "&amp;COUNT(G5:G17))</f>
        <v>تعداد کل قبوض: 0</v>
      </c>
      <c r="G18" s="166" t="s">
        <v>58</v>
      </c>
      <c r="H18" s="167"/>
      <c r="I18" s="168"/>
      <c r="J18" s="114">
        <f ca="1">IF(TODAY()&gt;=AJ1,"*فایل منقضی شد*",SUM(J5:J17))</f>
        <v>0</v>
      </c>
      <c r="AI18" s="101" t="s">
        <v>76</v>
      </c>
      <c r="AK18" s="102" t="s">
        <v>84</v>
      </c>
    </row>
    <row r="19" spans="3:37" ht="24.75" thickTop="1">
      <c r="C19" s="83" t="s">
        <v>46</v>
      </c>
      <c r="D19" s="84"/>
      <c r="E19" s="82"/>
      <c r="F19" s="104"/>
      <c r="G19" s="82"/>
      <c r="H19" s="82"/>
      <c r="I19" s="82"/>
      <c r="J19" s="82"/>
      <c r="AK19" s="102" t="s">
        <v>81</v>
      </c>
    </row>
    <row r="20" spans="3:37" ht="24">
      <c r="C20" s="83"/>
      <c r="D20" s="84"/>
      <c r="E20" s="82"/>
      <c r="F20" s="104"/>
      <c r="G20" s="82"/>
      <c r="H20" s="82"/>
      <c r="I20" s="82"/>
      <c r="J20" s="82"/>
      <c r="AK20" s="102" t="s">
        <v>82</v>
      </c>
    </row>
    <row r="21" spans="3:37" ht="24">
      <c r="C21" s="83"/>
      <c r="D21" s="84"/>
      <c r="E21" s="82"/>
      <c r="F21" s="105"/>
      <c r="G21" s="105"/>
      <c r="H21" s="105"/>
      <c r="I21" s="105"/>
      <c r="J21" s="105"/>
      <c r="K21" s="105"/>
      <c r="L21" s="105"/>
      <c r="M21" s="105"/>
      <c r="AK21" s="102" t="s">
        <v>83</v>
      </c>
    </row>
    <row r="22" spans="3:37" ht="24">
      <c r="C22" s="83"/>
      <c r="D22" s="84"/>
      <c r="E22" s="82"/>
      <c r="F22" s="105"/>
      <c r="G22" s="105"/>
      <c r="H22" s="105"/>
      <c r="I22" s="105"/>
      <c r="J22" s="105"/>
      <c r="K22" s="106"/>
      <c r="L22" s="106"/>
      <c r="M22" s="106"/>
    </row>
    <row r="23" spans="3:37" ht="24.75" thickBot="1">
      <c r="C23" s="107"/>
      <c r="D23" s="108"/>
      <c r="E23" s="82"/>
      <c r="F23" s="105"/>
      <c r="G23" s="105"/>
      <c r="H23" s="105"/>
      <c r="I23" s="105"/>
      <c r="J23" s="105"/>
      <c r="K23" s="106"/>
      <c r="L23" s="106"/>
      <c r="M23" s="106"/>
    </row>
    <row r="24" spans="3:37" ht="23.25" thickTop="1">
      <c r="F24" s="105"/>
      <c r="G24" s="105"/>
      <c r="H24" s="105"/>
      <c r="I24" s="105"/>
      <c r="J24" s="105"/>
      <c r="K24" s="106"/>
      <c r="L24" s="106"/>
      <c r="M24" s="109"/>
      <c r="N24" s="109"/>
      <c r="O24" s="109"/>
      <c r="P24" s="109"/>
      <c r="Q24" s="109"/>
      <c r="R24" s="109"/>
    </row>
    <row r="25" spans="3:37" ht="15" customHeight="1" thickBot="1">
      <c r="M25" s="109"/>
      <c r="N25" s="109"/>
      <c r="O25" s="109"/>
      <c r="P25" s="109"/>
      <c r="Q25" s="109"/>
      <c r="R25" s="109"/>
    </row>
    <row r="26" spans="3:37" ht="24.75" thickTop="1">
      <c r="C26" s="181" t="s">
        <v>47</v>
      </c>
      <c r="D26" s="182"/>
      <c r="E26" s="182"/>
      <c r="F26" s="182"/>
      <c r="G26" s="183"/>
      <c r="H26" s="184" t="s">
        <v>48</v>
      </c>
      <c r="I26" s="182"/>
      <c r="J26" s="185"/>
      <c r="M26" s="109"/>
      <c r="N26" s="109"/>
      <c r="O26" s="109"/>
      <c r="P26" s="109"/>
      <c r="Q26" s="109"/>
      <c r="R26" s="109"/>
    </row>
    <row r="27" spans="3:37" ht="24">
      <c r="C27" s="156" t="s">
        <v>49</v>
      </c>
      <c r="D27" s="157"/>
      <c r="E27" s="157"/>
      <c r="F27" s="157"/>
      <c r="G27" s="158"/>
      <c r="H27" s="159">
        <f ca="1">IF(TODAY()&gt;=AJ1,"*فایل منقضی شد*",-E62-P15)</f>
        <v>0</v>
      </c>
      <c r="I27" s="160"/>
      <c r="J27" s="161"/>
      <c r="M27" s="109"/>
      <c r="N27" s="109"/>
      <c r="O27" s="109"/>
      <c r="P27" s="109"/>
      <c r="Q27" s="109"/>
      <c r="R27" s="109"/>
    </row>
    <row r="28" spans="3:37" ht="24">
      <c r="C28" s="156" t="s">
        <v>50</v>
      </c>
      <c r="D28" s="157"/>
      <c r="E28" s="157"/>
      <c r="F28" s="157"/>
      <c r="G28" s="158"/>
      <c r="H28" s="153"/>
      <c r="I28" s="154"/>
      <c r="J28" s="155"/>
    </row>
    <row r="29" spans="3:37" ht="24">
      <c r="C29" s="156" t="s">
        <v>51</v>
      </c>
      <c r="D29" s="157"/>
      <c r="E29" s="157"/>
      <c r="F29" s="157"/>
      <c r="G29" s="158"/>
      <c r="H29" s="153"/>
      <c r="I29" s="154"/>
      <c r="J29" s="155"/>
    </row>
    <row r="30" spans="3:37" ht="24">
      <c r="C30" s="156" t="s">
        <v>52</v>
      </c>
      <c r="D30" s="157"/>
      <c r="E30" s="157"/>
      <c r="F30" s="157"/>
      <c r="G30" s="158"/>
      <c r="H30" s="153"/>
      <c r="I30" s="154"/>
      <c r="J30" s="155"/>
    </row>
    <row r="31" spans="3:37" ht="24">
      <c r="C31" s="156" t="s">
        <v>56</v>
      </c>
      <c r="D31" s="157"/>
      <c r="E31" s="157"/>
      <c r="F31" s="157"/>
      <c r="G31" s="158"/>
      <c r="H31" s="153"/>
      <c r="I31" s="154"/>
      <c r="J31" s="155"/>
    </row>
    <row r="32" spans="3:37" ht="24.75" thickBot="1">
      <c r="C32" s="135" t="s">
        <v>53</v>
      </c>
      <c r="D32" s="136"/>
      <c r="E32" s="136"/>
      <c r="F32" s="136"/>
      <c r="G32" s="137"/>
      <c r="H32" s="138">
        <f ca="1">IF(TODAY()&gt;=AJ1,"*فایل منقضی شد*",SUM(H27:H31))</f>
        <v>0</v>
      </c>
      <c r="I32" s="139"/>
      <c r="J32" s="140"/>
      <c r="L32" s="110"/>
    </row>
    <row r="33" spans="3:10" ht="16.5" thickTop="1" thickBot="1">
      <c r="C33" s="111"/>
      <c r="D33" s="111"/>
      <c r="E33" s="111"/>
      <c r="F33" s="112"/>
      <c r="G33" s="111"/>
      <c r="H33" s="111"/>
      <c r="I33" s="111"/>
      <c r="J33" s="111"/>
    </row>
    <row r="34" spans="3:10" ht="15.75" thickTop="1">
      <c r="C34" s="141" t="s">
        <v>74</v>
      </c>
      <c r="D34" s="142"/>
      <c r="E34" s="145"/>
      <c r="F34" s="112"/>
      <c r="G34" s="111"/>
      <c r="H34" s="111"/>
      <c r="I34" s="111"/>
      <c r="J34" s="111"/>
    </row>
    <row r="35" spans="3:10" ht="15.75" thickBot="1">
      <c r="C35" s="143"/>
      <c r="D35" s="144"/>
      <c r="E35" s="146"/>
      <c r="F35" s="112"/>
      <c r="G35" s="111"/>
      <c r="H35" s="111"/>
      <c r="I35" s="111"/>
      <c r="J35" s="111"/>
    </row>
    <row r="36" spans="3:10" ht="14.25" customHeight="1" thickTop="1">
      <c r="C36" s="141" t="s">
        <v>77</v>
      </c>
      <c r="D36" s="142"/>
      <c r="E36" s="149"/>
      <c r="F36" s="150"/>
      <c r="G36" s="111"/>
      <c r="H36" s="111"/>
      <c r="I36" s="111"/>
      <c r="J36" s="111"/>
    </row>
    <row r="37" spans="3:10" ht="14.25" customHeight="1">
      <c r="C37" s="147"/>
      <c r="D37" s="148"/>
      <c r="E37" s="151"/>
      <c r="F37" s="152"/>
      <c r="G37" s="111"/>
      <c r="H37" s="111"/>
      <c r="I37" s="111"/>
      <c r="J37" s="111"/>
    </row>
    <row r="38" spans="3:10">
      <c r="C38" s="121" t="s">
        <v>78</v>
      </c>
      <c r="D38" s="122"/>
      <c r="E38" s="133"/>
      <c r="F38" s="134"/>
      <c r="G38" s="111"/>
      <c r="H38" s="111"/>
      <c r="I38" s="111"/>
      <c r="J38" s="111"/>
    </row>
    <row r="39" spans="3:10">
      <c r="C39" s="121"/>
      <c r="D39" s="122"/>
      <c r="E39" s="133"/>
      <c r="F39" s="134"/>
      <c r="G39" s="111"/>
      <c r="H39" s="111"/>
      <c r="I39" s="111"/>
      <c r="J39" s="111"/>
    </row>
    <row r="40" spans="3:10">
      <c r="C40" s="121" t="s">
        <v>79</v>
      </c>
      <c r="D40" s="122"/>
      <c r="E40" s="131"/>
      <c r="F40" s="132"/>
      <c r="G40" s="111"/>
      <c r="H40" s="111"/>
      <c r="I40" s="111"/>
      <c r="J40" s="111"/>
    </row>
    <row r="41" spans="3:10">
      <c r="C41" s="121"/>
      <c r="D41" s="122"/>
      <c r="E41" s="131"/>
      <c r="F41" s="132"/>
      <c r="G41" s="111"/>
      <c r="H41" s="111"/>
      <c r="I41" s="111"/>
      <c r="J41" s="111"/>
    </row>
    <row r="42" spans="3:10">
      <c r="C42" s="121" t="s">
        <v>85</v>
      </c>
      <c r="D42" s="122"/>
      <c r="E42" s="131"/>
      <c r="F42" s="132"/>
      <c r="G42" s="111"/>
      <c r="H42" s="111"/>
      <c r="I42" s="111"/>
      <c r="J42" s="111"/>
    </row>
    <row r="43" spans="3:10">
      <c r="C43" s="121"/>
      <c r="D43" s="122"/>
      <c r="E43" s="131"/>
      <c r="F43" s="132"/>
      <c r="G43" s="111"/>
      <c r="H43" s="111"/>
      <c r="I43" s="111"/>
      <c r="J43" s="111"/>
    </row>
    <row r="44" spans="3:10">
      <c r="C44" s="121" t="s">
        <v>86</v>
      </c>
      <c r="D44" s="122"/>
      <c r="E44" s="131"/>
      <c r="F44" s="132"/>
      <c r="G44" s="111"/>
      <c r="H44" s="111"/>
      <c r="I44" s="111"/>
      <c r="J44" s="111"/>
    </row>
    <row r="45" spans="3:10">
      <c r="C45" s="121"/>
      <c r="D45" s="122"/>
      <c r="E45" s="131"/>
      <c r="F45" s="132"/>
      <c r="G45" s="111"/>
      <c r="H45" s="111"/>
      <c r="I45" s="111"/>
      <c r="J45" s="111"/>
    </row>
    <row r="46" spans="3:10">
      <c r="C46" s="121" t="s">
        <v>87</v>
      </c>
      <c r="D46" s="122"/>
      <c r="E46" s="129"/>
      <c r="F46" s="130"/>
      <c r="G46" s="111"/>
      <c r="H46" s="111"/>
      <c r="I46" s="111"/>
      <c r="J46" s="111"/>
    </row>
    <row r="47" spans="3:10">
      <c r="C47" s="121"/>
      <c r="D47" s="122"/>
      <c r="E47" s="129"/>
      <c r="F47" s="130"/>
      <c r="G47" s="111"/>
      <c r="H47" s="111"/>
      <c r="I47" s="111"/>
      <c r="J47" s="111"/>
    </row>
    <row r="48" spans="3:10">
      <c r="C48" s="121" t="s">
        <v>88</v>
      </c>
      <c r="D48" s="122"/>
      <c r="E48" s="129"/>
      <c r="F48" s="130"/>
      <c r="G48" s="111"/>
      <c r="H48" s="111"/>
      <c r="I48" s="111"/>
      <c r="J48" s="111"/>
    </row>
    <row r="49" spans="3:10">
      <c r="C49" s="121"/>
      <c r="D49" s="122"/>
      <c r="E49" s="129"/>
      <c r="F49" s="130"/>
      <c r="G49" s="111"/>
      <c r="H49" s="111"/>
      <c r="I49" s="111"/>
      <c r="J49" s="111"/>
    </row>
    <row r="50" spans="3:10">
      <c r="C50" s="121" t="s">
        <v>89</v>
      </c>
      <c r="D50" s="122"/>
      <c r="E50" s="125">
        <f ca="1">IF(TODAY()&gt;=AJ1,"*فایل منقضی شد*",E46-E48)</f>
        <v>0</v>
      </c>
      <c r="F50" s="126"/>
      <c r="G50" s="111"/>
      <c r="H50" s="111"/>
      <c r="I50" s="111"/>
      <c r="J50" s="111"/>
    </row>
    <row r="51" spans="3:10">
      <c r="C51" s="121"/>
      <c r="D51" s="122"/>
      <c r="E51" s="125"/>
      <c r="F51" s="126"/>
      <c r="G51" s="111"/>
      <c r="H51" s="111"/>
      <c r="I51" s="111"/>
      <c r="J51" s="111"/>
    </row>
    <row r="52" spans="3:10">
      <c r="C52" s="121" t="s">
        <v>90</v>
      </c>
      <c r="D52" s="122"/>
      <c r="E52" s="129"/>
      <c r="F52" s="130"/>
      <c r="G52" s="111"/>
      <c r="H52" s="111"/>
      <c r="I52" s="111"/>
      <c r="J52" s="111"/>
    </row>
    <row r="53" spans="3:10">
      <c r="C53" s="121"/>
      <c r="D53" s="122"/>
      <c r="E53" s="129"/>
      <c r="F53" s="130"/>
      <c r="G53" s="111"/>
      <c r="H53" s="111"/>
      <c r="I53" s="111"/>
      <c r="J53" s="111"/>
    </row>
    <row r="54" spans="3:10">
      <c r="C54" s="121" t="s">
        <v>91</v>
      </c>
      <c r="D54" s="122"/>
      <c r="E54" s="129"/>
      <c r="F54" s="130"/>
      <c r="G54" s="111"/>
      <c r="H54" s="111"/>
      <c r="I54" s="111"/>
      <c r="J54" s="111"/>
    </row>
    <row r="55" spans="3:10">
      <c r="C55" s="121"/>
      <c r="D55" s="122"/>
      <c r="E55" s="129"/>
      <c r="F55" s="130"/>
      <c r="G55" s="111"/>
      <c r="H55" s="111"/>
      <c r="I55" s="111"/>
      <c r="J55" s="111"/>
    </row>
    <row r="56" spans="3:10">
      <c r="C56" s="121" t="s">
        <v>58</v>
      </c>
      <c r="D56" s="122"/>
      <c r="E56" s="125">
        <f ca="1">IF(TODAY()&gt;=AJ1,"*فایل منقضی شد*",E52+E54)</f>
        <v>0</v>
      </c>
      <c r="F56" s="126"/>
      <c r="G56" s="111"/>
      <c r="H56" s="111"/>
      <c r="I56" s="111"/>
      <c r="J56" s="111"/>
    </row>
    <row r="57" spans="3:10">
      <c r="C57" s="121"/>
      <c r="D57" s="122"/>
      <c r="E57" s="125"/>
      <c r="F57" s="126"/>
      <c r="G57" s="111"/>
      <c r="H57" s="111"/>
      <c r="I57" s="111"/>
      <c r="J57" s="111"/>
    </row>
    <row r="58" spans="3:10">
      <c r="C58" s="121" t="s">
        <v>92</v>
      </c>
      <c r="D58" s="122"/>
      <c r="E58" s="129"/>
      <c r="F58" s="130"/>
      <c r="G58" s="111"/>
      <c r="H58" s="111"/>
      <c r="I58" s="111"/>
      <c r="J58" s="111"/>
    </row>
    <row r="59" spans="3:10">
      <c r="C59" s="121"/>
      <c r="D59" s="122"/>
      <c r="E59" s="129"/>
      <c r="F59" s="130"/>
      <c r="G59" s="111"/>
      <c r="H59" s="111"/>
      <c r="I59" s="111"/>
      <c r="J59" s="111"/>
    </row>
    <row r="60" spans="3:10">
      <c r="C60" s="121" t="s">
        <v>94</v>
      </c>
      <c r="D60" s="122"/>
      <c r="E60" s="125">
        <f ca="1">IF(TODAY()&gt;=AJ1,"*فایل منقضی شد*",J18)</f>
        <v>0</v>
      </c>
      <c r="F60" s="126"/>
      <c r="G60" s="111"/>
      <c r="H60" s="111"/>
      <c r="I60" s="111"/>
      <c r="J60" s="111"/>
    </row>
    <row r="61" spans="3:10">
      <c r="C61" s="121"/>
      <c r="D61" s="122"/>
      <c r="E61" s="125"/>
      <c r="F61" s="126"/>
      <c r="G61" s="111"/>
      <c r="H61" s="111"/>
      <c r="I61" s="111"/>
      <c r="J61" s="111"/>
    </row>
    <row r="62" spans="3:10">
      <c r="C62" s="121" t="s">
        <v>93</v>
      </c>
      <c r="D62" s="122"/>
      <c r="E62" s="125">
        <f ca="1">IF(TODAY()&gt;=AJ1,"*فایل منقضی شد*",E56-E58-E60)</f>
        <v>0</v>
      </c>
      <c r="F62" s="126"/>
      <c r="G62" s="111"/>
      <c r="H62" s="111"/>
      <c r="I62" s="111"/>
      <c r="J62" s="111"/>
    </row>
    <row r="63" spans="3:10" ht="15.75" thickBot="1">
      <c r="C63" s="123"/>
      <c r="D63" s="124"/>
      <c r="E63" s="127"/>
      <c r="F63" s="128"/>
      <c r="G63" s="111"/>
      <c r="H63" s="111"/>
      <c r="I63" s="111"/>
      <c r="J63" s="111"/>
    </row>
    <row r="64" spans="3:10" ht="15.75" thickTop="1">
      <c r="C64" s="111"/>
      <c r="D64" s="111"/>
      <c r="E64" s="111"/>
      <c r="F64" s="112"/>
      <c r="G64" s="111"/>
      <c r="H64" s="111"/>
      <c r="I64" s="111"/>
      <c r="J64" s="111"/>
    </row>
    <row r="65" spans="3:10">
      <c r="C65" s="111"/>
      <c r="D65" s="111"/>
      <c r="E65" s="111"/>
      <c r="F65" s="112"/>
      <c r="G65" s="111"/>
      <c r="H65" s="111"/>
      <c r="I65" s="111"/>
      <c r="J65" s="111"/>
    </row>
  </sheetData>
  <sheetProtection algorithmName="SHA-512" hashValue="iYu/P6x0UHqwvlB7XhWN2NUCt8kmeegi3c+NLNQDoKE8OuBP2Hp+lJGtUQX3Nh0BiGjoJ5yxnqklB8MfBSQZYA==" saltValue="7DkUECU5OFHlnV60/WrcDw==" spinCount="100000" sheet="1" objects="1" scenarios="1" selectLockedCells="1"/>
  <mergeCells count="48">
    <mergeCell ref="C2:D3"/>
    <mergeCell ref="G18:I18"/>
    <mergeCell ref="F2:J3"/>
    <mergeCell ref="L2:Q3"/>
    <mergeCell ref="C26:G26"/>
    <mergeCell ref="H26:J26"/>
    <mergeCell ref="C27:G27"/>
    <mergeCell ref="H27:J27"/>
    <mergeCell ref="C28:G28"/>
    <mergeCell ref="H28:J28"/>
    <mergeCell ref="C29:G29"/>
    <mergeCell ref="H30:J30"/>
    <mergeCell ref="H29:J29"/>
    <mergeCell ref="C30:G30"/>
    <mergeCell ref="C31:G31"/>
    <mergeCell ref="H31:J31"/>
    <mergeCell ref="C32:G32"/>
    <mergeCell ref="H32:J32"/>
    <mergeCell ref="C34:D35"/>
    <mergeCell ref="E34:E35"/>
    <mergeCell ref="C36:D37"/>
    <mergeCell ref="E36:F37"/>
    <mergeCell ref="C38:D39"/>
    <mergeCell ref="E38:F39"/>
    <mergeCell ref="C40:D41"/>
    <mergeCell ref="E40:F41"/>
    <mergeCell ref="C42:D43"/>
    <mergeCell ref="E42:F43"/>
    <mergeCell ref="C44:D45"/>
    <mergeCell ref="E44:F45"/>
    <mergeCell ref="C46:D47"/>
    <mergeCell ref="E46:F47"/>
    <mergeCell ref="C48:D49"/>
    <mergeCell ref="E48:F49"/>
    <mergeCell ref="C50:D51"/>
    <mergeCell ref="E50:F51"/>
    <mergeCell ref="C52:D53"/>
    <mergeCell ref="E52:F53"/>
    <mergeCell ref="C54:D55"/>
    <mergeCell ref="E54:F55"/>
    <mergeCell ref="C62:D63"/>
    <mergeCell ref="E62:F63"/>
    <mergeCell ref="C56:D57"/>
    <mergeCell ref="E56:F57"/>
    <mergeCell ref="C58:D59"/>
    <mergeCell ref="E58:F59"/>
    <mergeCell ref="C60:D61"/>
    <mergeCell ref="E60:F61"/>
  </mergeCells>
  <phoneticPr fontId="7" type="noConversion"/>
  <dataValidations count="3">
    <dataValidation type="list" allowBlank="1" showInputMessage="1" showErrorMessage="1" sqref="E34:E35" xr:uid="{3EA04813-EFAC-428F-AF24-DB68AA966E60}">
      <formula1>$AI$17:$AI$18</formula1>
    </dataValidation>
    <dataValidation type="list" allowBlank="1" showInputMessage="1" showErrorMessage="1" sqref="E40:F41" xr:uid="{956FA5DC-761E-4AC7-888A-3BD14994A4A4}">
      <formula1>$AK$17:$AK$21</formula1>
    </dataValidation>
    <dataValidation type="list" allowBlank="1" showInputMessage="1" showErrorMessage="1" prompt="لطفا از بین سه منبع یکی را انتخاب کنید" sqref="D11" xr:uid="{446EEB76-D8FD-4D27-835A-5ECD92B8C5A3}">
      <formula1>$AJ$9:$AJ$11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768F2-3047-4216-B845-6097A98422D0}">
  <sheetPr codeName="Sheet1">
    <tabColor theme="7" tint="0.39997558519241921"/>
  </sheetPr>
  <dimension ref="B2:S35"/>
  <sheetViews>
    <sheetView rightToLeft="1" workbookViewId="0">
      <selection activeCell="D1" sqref="D1"/>
    </sheetView>
  </sheetViews>
  <sheetFormatPr defaultRowHeight="15"/>
  <sheetData>
    <row r="2" spans="2:19" ht="41.25" thickBot="1">
      <c r="B2" s="187" t="s">
        <v>99</v>
      </c>
      <c r="C2" s="187"/>
      <c r="D2" s="187"/>
      <c r="E2" s="187"/>
      <c r="F2" s="187"/>
      <c r="G2" s="187"/>
      <c r="H2" s="187"/>
      <c r="I2" s="187"/>
      <c r="J2" s="187"/>
      <c r="K2" s="187"/>
      <c r="L2" s="187"/>
      <c r="M2" s="187"/>
      <c r="N2" s="187"/>
      <c r="O2" s="187"/>
      <c r="P2" s="187"/>
      <c r="Q2" s="187"/>
      <c r="R2" s="187"/>
      <c r="S2" s="187"/>
    </row>
    <row r="3" spans="2:19" ht="32.25">
      <c r="B3" s="65"/>
      <c r="C3" s="66" t="s">
        <v>100</v>
      </c>
      <c r="D3" s="188" t="s">
        <v>101</v>
      </c>
      <c r="E3" s="188"/>
      <c r="F3" s="188"/>
      <c r="G3" s="188"/>
      <c r="H3" s="188"/>
      <c r="I3" s="188"/>
      <c r="J3" s="188"/>
      <c r="K3" s="188"/>
      <c r="L3" s="188"/>
      <c r="M3" s="188"/>
      <c r="N3" s="188"/>
      <c r="O3" s="188"/>
      <c r="P3" s="188"/>
      <c r="Q3" s="189"/>
      <c r="R3" s="67" t="s">
        <v>102</v>
      </c>
      <c r="S3" s="68" t="s">
        <v>103</v>
      </c>
    </row>
    <row r="4" spans="2:19">
      <c r="B4" s="190"/>
      <c r="C4" s="191"/>
      <c r="D4" s="191"/>
      <c r="E4" s="191"/>
      <c r="F4" s="191"/>
      <c r="G4" s="191"/>
      <c r="H4" s="191"/>
      <c r="I4" s="191"/>
      <c r="J4" s="191"/>
      <c r="K4" s="191"/>
      <c r="L4" s="191"/>
      <c r="M4" s="191"/>
      <c r="N4" s="191"/>
      <c r="O4" s="191"/>
      <c r="P4" s="191"/>
      <c r="Q4" s="191"/>
      <c r="R4" s="191"/>
      <c r="S4" s="192"/>
    </row>
    <row r="5" spans="2:19" ht="22.5">
      <c r="B5" s="193" t="s">
        <v>104</v>
      </c>
      <c r="C5" s="69">
        <v>1</v>
      </c>
      <c r="D5" s="194" t="s">
        <v>105</v>
      </c>
      <c r="E5" s="195"/>
      <c r="F5" s="195"/>
      <c r="G5" s="195"/>
      <c r="H5" s="195"/>
      <c r="I5" s="195"/>
      <c r="J5" s="195"/>
      <c r="K5" s="195"/>
      <c r="L5" s="195"/>
      <c r="M5" s="195"/>
      <c r="N5" s="195"/>
      <c r="O5" s="195"/>
      <c r="P5" s="195"/>
      <c r="Q5" s="196"/>
      <c r="R5" s="70"/>
      <c r="S5" s="71"/>
    </row>
    <row r="6" spans="2:19" ht="22.5">
      <c r="B6" s="193"/>
      <c r="C6" s="69">
        <v>2</v>
      </c>
      <c r="D6" s="197" t="s">
        <v>106</v>
      </c>
      <c r="E6" s="198"/>
      <c r="F6" s="198"/>
      <c r="G6" s="198"/>
      <c r="H6" s="198"/>
      <c r="I6" s="198"/>
      <c r="J6" s="198"/>
      <c r="K6" s="198"/>
      <c r="L6" s="198"/>
      <c r="M6" s="198"/>
      <c r="N6" s="198"/>
      <c r="O6" s="198"/>
      <c r="P6" s="198"/>
      <c r="Q6" s="199"/>
      <c r="R6" s="70"/>
      <c r="S6" s="71"/>
    </row>
    <row r="7" spans="2:19">
      <c r="B7" s="200"/>
      <c r="C7" s="201"/>
      <c r="D7" s="201"/>
      <c r="E7" s="201"/>
      <c r="F7" s="201"/>
      <c r="G7" s="201"/>
      <c r="H7" s="201"/>
      <c r="I7" s="201"/>
      <c r="J7" s="201"/>
      <c r="K7" s="201"/>
      <c r="L7" s="201"/>
      <c r="M7" s="201"/>
      <c r="N7" s="201"/>
      <c r="O7" s="201"/>
      <c r="P7" s="201"/>
      <c r="Q7" s="201"/>
      <c r="R7" s="201"/>
      <c r="S7" s="202"/>
    </row>
    <row r="8" spans="2:19" ht="22.5">
      <c r="B8" s="193" t="s">
        <v>107</v>
      </c>
      <c r="C8" s="69">
        <v>3</v>
      </c>
      <c r="D8" s="203" t="s">
        <v>108</v>
      </c>
      <c r="E8" s="204"/>
      <c r="F8" s="204"/>
      <c r="G8" s="204"/>
      <c r="H8" s="204"/>
      <c r="I8" s="204"/>
      <c r="J8" s="204"/>
      <c r="K8" s="204"/>
      <c r="L8" s="204"/>
      <c r="M8" s="204"/>
      <c r="N8" s="204"/>
      <c r="O8" s="204"/>
      <c r="P8" s="204"/>
      <c r="Q8" s="204"/>
      <c r="R8" s="70"/>
      <c r="S8" s="71"/>
    </row>
    <row r="9" spans="2:19" ht="22.5">
      <c r="B9" s="193"/>
      <c r="C9" s="69">
        <v>4</v>
      </c>
      <c r="D9" s="203" t="s">
        <v>109</v>
      </c>
      <c r="E9" s="204"/>
      <c r="F9" s="204"/>
      <c r="G9" s="204"/>
      <c r="H9" s="204"/>
      <c r="I9" s="204"/>
      <c r="J9" s="204"/>
      <c r="K9" s="204"/>
      <c r="L9" s="204"/>
      <c r="M9" s="204"/>
      <c r="N9" s="204"/>
      <c r="O9" s="204"/>
      <c r="P9" s="204"/>
      <c r="Q9" s="204"/>
      <c r="R9" s="70"/>
      <c r="S9" s="71"/>
    </row>
    <row r="10" spans="2:19" ht="22.5">
      <c r="B10" s="193"/>
      <c r="C10" s="69">
        <v>5</v>
      </c>
      <c r="D10" s="203" t="s">
        <v>110</v>
      </c>
      <c r="E10" s="204"/>
      <c r="F10" s="204"/>
      <c r="G10" s="204"/>
      <c r="H10" s="204"/>
      <c r="I10" s="204"/>
      <c r="J10" s="204"/>
      <c r="K10" s="204"/>
      <c r="L10" s="204"/>
      <c r="M10" s="204"/>
      <c r="N10" s="204"/>
      <c r="O10" s="204"/>
      <c r="P10" s="204"/>
      <c r="Q10" s="204"/>
      <c r="R10" s="70"/>
      <c r="S10" s="71"/>
    </row>
    <row r="11" spans="2:19" ht="22.5">
      <c r="B11" s="193"/>
      <c r="C11" s="69"/>
      <c r="D11" s="203" t="s">
        <v>111</v>
      </c>
      <c r="E11" s="204"/>
      <c r="F11" s="204"/>
      <c r="G11" s="204"/>
      <c r="H11" s="204"/>
      <c r="I11" s="204"/>
      <c r="J11" s="204"/>
      <c r="K11" s="204"/>
      <c r="L11" s="204"/>
      <c r="M11" s="204"/>
      <c r="N11" s="204"/>
      <c r="O11" s="204"/>
      <c r="P11" s="204"/>
      <c r="Q11" s="204"/>
      <c r="R11" s="70"/>
      <c r="S11" s="71"/>
    </row>
    <row r="12" spans="2:19" ht="22.5">
      <c r="B12" s="193"/>
      <c r="C12" s="69"/>
      <c r="D12" s="203" t="s">
        <v>112</v>
      </c>
      <c r="E12" s="204"/>
      <c r="F12" s="204"/>
      <c r="G12" s="204"/>
      <c r="H12" s="204"/>
      <c r="I12" s="204"/>
      <c r="J12" s="204"/>
      <c r="K12" s="204"/>
      <c r="L12" s="204"/>
      <c r="M12" s="204"/>
      <c r="N12" s="204"/>
      <c r="O12" s="204"/>
      <c r="P12" s="204"/>
      <c r="Q12" s="204"/>
      <c r="R12" s="70"/>
      <c r="S12" s="71"/>
    </row>
    <row r="13" spans="2:19" ht="22.5">
      <c r="B13" s="193"/>
      <c r="C13" s="69">
        <v>6</v>
      </c>
      <c r="D13" s="205" t="s">
        <v>113</v>
      </c>
      <c r="E13" s="206"/>
      <c r="F13" s="206"/>
      <c r="G13" s="206"/>
      <c r="H13" s="206"/>
      <c r="I13" s="206"/>
      <c r="J13" s="206"/>
      <c r="K13" s="206"/>
      <c r="L13" s="206"/>
      <c r="M13" s="206"/>
      <c r="N13" s="206"/>
      <c r="O13" s="206"/>
      <c r="P13" s="206"/>
      <c r="Q13" s="206"/>
      <c r="R13" s="70"/>
      <c r="S13" s="71"/>
    </row>
    <row r="14" spans="2:19" ht="22.5">
      <c r="B14" s="193"/>
      <c r="C14" s="69">
        <v>7</v>
      </c>
      <c r="D14" s="203" t="s">
        <v>114</v>
      </c>
      <c r="E14" s="204"/>
      <c r="F14" s="204"/>
      <c r="G14" s="204"/>
      <c r="H14" s="204"/>
      <c r="I14" s="204"/>
      <c r="J14" s="204"/>
      <c r="K14" s="204"/>
      <c r="L14" s="204"/>
      <c r="M14" s="204"/>
      <c r="N14" s="204"/>
      <c r="O14" s="204"/>
      <c r="P14" s="204"/>
      <c r="Q14" s="204"/>
      <c r="R14" s="70"/>
      <c r="S14" s="71"/>
    </row>
    <row r="15" spans="2:19" ht="22.5">
      <c r="B15" s="193"/>
      <c r="C15" s="69">
        <v>8</v>
      </c>
      <c r="D15" s="203" t="s">
        <v>115</v>
      </c>
      <c r="E15" s="204"/>
      <c r="F15" s="204"/>
      <c r="G15" s="204"/>
      <c r="H15" s="204"/>
      <c r="I15" s="204"/>
      <c r="J15" s="204"/>
      <c r="K15" s="204"/>
      <c r="L15" s="204"/>
      <c r="M15" s="204"/>
      <c r="N15" s="204"/>
      <c r="O15" s="204"/>
      <c r="P15" s="204"/>
      <c r="Q15" s="204"/>
      <c r="R15" s="70"/>
      <c r="S15" s="71"/>
    </row>
    <row r="16" spans="2:19">
      <c r="B16" s="200"/>
      <c r="C16" s="201"/>
      <c r="D16" s="201"/>
      <c r="E16" s="201"/>
      <c r="F16" s="201"/>
      <c r="G16" s="201"/>
      <c r="H16" s="201"/>
      <c r="I16" s="201"/>
      <c r="J16" s="201"/>
      <c r="K16" s="201"/>
      <c r="L16" s="201"/>
      <c r="M16" s="201"/>
      <c r="N16" s="201"/>
      <c r="O16" s="201"/>
      <c r="P16" s="201"/>
      <c r="Q16" s="201"/>
      <c r="R16" s="201"/>
      <c r="S16" s="202"/>
    </row>
    <row r="17" spans="2:19" ht="22.5">
      <c r="B17" s="193" t="s">
        <v>116</v>
      </c>
      <c r="C17" s="69">
        <v>9</v>
      </c>
      <c r="D17" s="207" t="s">
        <v>117</v>
      </c>
      <c r="E17" s="204"/>
      <c r="F17" s="204"/>
      <c r="G17" s="204"/>
      <c r="H17" s="204"/>
      <c r="I17" s="204"/>
      <c r="J17" s="204"/>
      <c r="K17" s="204"/>
      <c r="L17" s="204"/>
      <c r="M17" s="204"/>
      <c r="N17" s="204"/>
      <c r="O17" s="204"/>
      <c r="P17" s="204"/>
      <c r="Q17" s="204"/>
      <c r="R17" s="70"/>
      <c r="S17" s="71"/>
    </row>
    <row r="18" spans="2:19" ht="22.5">
      <c r="B18" s="193"/>
      <c r="C18" s="69" t="s">
        <v>118</v>
      </c>
      <c r="D18" s="203" t="s">
        <v>119</v>
      </c>
      <c r="E18" s="204"/>
      <c r="F18" s="204"/>
      <c r="G18" s="204"/>
      <c r="H18" s="204"/>
      <c r="I18" s="204"/>
      <c r="J18" s="204"/>
      <c r="K18" s="204"/>
      <c r="L18" s="204"/>
      <c r="M18" s="204"/>
      <c r="N18" s="204"/>
      <c r="O18" s="204"/>
      <c r="P18" s="204"/>
      <c r="Q18" s="204"/>
      <c r="R18" s="70"/>
      <c r="S18" s="71"/>
    </row>
    <row r="19" spans="2:19" ht="22.5">
      <c r="B19" s="193"/>
      <c r="C19" s="72" t="s">
        <v>120</v>
      </c>
      <c r="D19" s="203" t="s">
        <v>121</v>
      </c>
      <c r="E19" s="204"/>
      <c r="F19" s="204"/>
      <c r="G19" s="204"/>
      <c r="H19" s="204"/>
      <c r="I19" s="204"/>
      <c r="J19" s="204"/>
      <c r="K19" s="204"/>
      <c r="L19" s="204"/>
      <c r="M19" s="204"/>
      <c r="N19" s="204"/>
      <c r="O19" s="204"/>
      <c r="P19" s="204"/>
      <c r="Q19" s="204"/>
      <c r="R19" s="70"/>
      <c r="S19" s="71"/>
    </row>
    <row r="20" spans="2:19" ht="39">
      <c r="B20" s="193"/>
      <c r="C20" s="73" t="s">
        <v>122</v>
      </c>
      <c r="D20" s="208" t="s">
        <v>123</v>
      </c>
      <c r="E20" s="198"/>
      <c r="F20" s="198"/>
      <c r="G20" s="198"/>
      <c r="H20" s="198"/>
      <c r="I20" s="198"/>
      <c r="J20" s="198"/>
      <c r="K20" s="198"/>
      <c r="L20" s="198"/>
      <c r="M20" s="198"/>
      <c r="N20" s="198"/>
      <c r="O20" s="198"/>
      <c r="P20" s="198"/>
      <c r="Q20" s="198"/>
      <c r="R20" s="70"/>
      <c r="S20" s="71"/>
    </row>
    <row r="21" spans="2:19" ht="40.5">
      <c r="B21" s="193"/>
      <c r="C21" s="73" t="s">
        <v>124</v>
      </c>
      <c r="D21" s="208" t="s">
        <v>125</v>
      </c>
      <c r="E21" s="198"/>
      <c r="F21" s="198"/>
      <c r="G21" s="198"/>
      <c r="H21" s="198"/>
      <c r="I21" s="198"/>
      <c r="J21" s="198"/>
      <c r="K21" s="198"/>
      <c r="L21" s="198"/>
      <c r="M21" s="198"/>
      <c r="N21" s="198"/>
      <c r="O21" s="198"/>
      <c r="P21" s="198"/>
      <c r="Q21" s="198"/>
      <c r="R21" s="70"/>
      <c r="S21" s="71"/>
    </row>
    <row r="22" spans="2:19" ht="22.5">
      <c r="B22" s="193"/>
      <c r="C22" s="69">
        <v>10</v>
      </c>
      <c r="D22" s="209" t="s">
        <v>126</v>
      </c>
      <c r="E22" s="198"/>
      <c r="F22" s="198"/>
      <c r="G22" s="198"/>
      <c r="H22" s="198"/>
      <c r="I22" s="198"/>
      <c r="J22" s="198"/>
      <c r="K22" s="198"/>
      <c r="L22" s="198"/>
      <c r="M22" s="198"/>
      <c r="N22" s="198"/>
      <c r="O22" s="198"/>
      <c r="P22" s="198"/>
      <c r="Q22" s="198"/>
      <c r="R22" s="70"/>
      <c r="S22" s="71"/>
    </row>
    <row r="23" spans="2:19" ht="22.5">
      <c r="B23" s="193"/>
      <c r="C23" s="69">
        <v>11</v>
      </c>
      <c r="D23" s="197" t="s">
        <v>127</v>
      </c>
      <c r="E23" s="198"/>
      <c r="F23" s="198"/>
      <c r="G23" s="198"/>
      <c r="H23" s="198"/>
      <c r="I23" s="198"/>
      <c r="J23" s="198"/>
      <c r="K23" s="198"/>
      <c r="L23" s="198"/>
      <c r="M23" s="198"/>
      <c r="N23" s="198"/>
      <c r="O23" s="198"/>
      <c r="P23" s="198"/>
      <c r="Q23" s="199"/>
      <c r="R23" s="70"/>
      <c r="S23" s="71"/>
    </row>
    <row r="24" spans="2:19">
      <c r="B24" s="200"/>
      <c r="C24" s="201"/>
      <c r="D24" s="201"/>
      <c r="E24" s="201"/>
      <c r="F24" s="201"/>
      <c r="G24" s="201"/>
      <c r="H24" s="201"/>
      <c r="I24" s="201"/>
      <c r="J24" s="201"/>
      <c r="K24" s="201"/>
      <c r="L24" s="201"/>
      <c r="M24" s="201"/>
      <c r="N24" s="201"/>
      <c r="O24" s="201"/>
      <c r="P24" s="201"/>
      <c r="Q24" s="201"/>
      <c r="R24" s="201"/>
      <c r="S24" s="202"/>
    </row>
    <row r="25" spans="2:19" ht="22.5">
      <c r="B25" s="210" t="s">
        <v>128</v>
      </c>
      <c r="C25" s="69">
        <v>12</v>
      </c>
      <c r="D25" s="203" t="s">
        <v>129</v>
      </c>
      <c r="E25" s="204"/>
      <c r="F25" s="204"/>
      <c r="G25" s="204"/>
      <c r="H25" s="204"/>
      <c r="I25" s="204"/>
      <c r="J25" s="204"/>
      <c r="K25" s="204"/>
      <c r="L25" s="204"/>
      <c r="M25" s="204"/>
      <c r="N25" s="204"/>
      <c r="O25" s="204"/>
      <c r="P25" s="204"/>
      <c r="Q25" s="204"/>
      <c r="R25" s="70"/>
      <c r="S25" s="71"/>
    </row>
    <row r="26" spans="2:19" ht="22.5">
      <c r="B26" s="211"/>
      <c r="C26" s="72" t="s">
        <v>130</v>
      </c>
      <c r="D26" s="203" t="s">
        <v>131</v>
      </c>
      <c r="E26" s="204"/>
      <c r="F26" s="204"/>
      <c r="G26" s="204"/>
      <c r="H26" s="204"/>
      <c r="I26" s="204"/>
      <c r="J26" s="204"/>
      <c r="K26" s="204"/>
      <c r="L26" s="204"/>
      <c r="M26" s="204"/>
      <c r="N26" s="204"/>
      <c r="O26" s="204"/>
      <c r="P26" s="204"/>
      <c r="Q26" s="204"/>
      <c r="R26" s="70"/>
      <c r="S26" s="71"/>
    </row>
    <row r="27" spans="2:19" ht="22.5">
      <c r="B27" s="211"/>
      <c r="C27" s="69" t="s">
        <v>132</v>
      </c>
      <c r="D27" s="203" t="s">
        <v>133</v>
      </c>
      <c r="E27" s="204"/>
      <c r="F27" s="204"/>
      <c r="G27" s="204"/>
      <c r="H27" s="204"/>
      <c r="I27" s="204"/>
      <c r="J27" s="204"/>
      <c r="K27" s="204"/>
      <c r="L27" s="204"/>
      <c r="M27" s="204"/>
      <c r="N27" s="204"/>
      <c r="O27" s="204"/>
      <c r="P27" s="204"/>
      <c r="Q27" s="204"/>
      <c r="R27" s="70"/>
      <c r="S27" s="71"/>
    </row>
    <row r="28" spans="2:19" ht="22.5">
      <c r="B28" s="211"/>
      <c r="C28" s="69" t="s">
        <v>134</v>
      </c>
      <c r="D28" s="203" t="s">
        <v>135</v>
      </c>
      <c r="E28" s="204"/>
      <c r="F28" s="204"/>
      <c r="G28" s="204"/>
      <c r="H28" s="204"/>
      <c r="I28" s="204"/>
      <c r="J28" s="204"/>
      <c r="K28" s="204"/>
      <c r="L28" s="204"/>
      <c r="M28" s="204"/>
      <c r="N28" s="204"/>
      <c r="O28" s="204"/>
      <c r="P28" s="204"/>
      <c r="Q28" s="204"/>
      <c r="R28" s="70"/>
      <c r="S28" s="71"/>
    </row>
    <row r="29" spans="2:19" ht="22.5">
      <c r="B29" s="212"/>
      <c r="C29" s="69">
        <v>12</v>
      </c>
      <c r="D29" s="197" t="s">
        <v>136</v>
      </c>
      <c r="E29" s="198"/>
      <c r="F29" s="198"/>
      <c r="G29" s="198"/>
      <c r="H29" s="198"/>
      <c r="I29" s="198"/>
      <c r="J29" s="198"/>
      <c r="K29" s="198"/>
      <c r="L29" s="198"/>
      <c r="M29" s="198"/>
      <c r="N29" s="198"/>
      <c r="O29" s="198"/>
      <c r="P29" s="198"/>
      <c r="Q29" s="213"/>
      <c r="R29" s="70"/>
      <c r="S29" s="71"/>
    </row>
    <row r="32" spans="2:19" ht="22.5">
      <c r="E32" s="186" t="str">
        <f>" رئیس گروه مالیاتی شهرستان "&amp;data!D8&amp;CHAR(10)&amp;data!D13</f>
        <v xml:space="preserve"> رئیس گروه مالیاتی شهرستان اهواز
مسعود بصیر</v>
      </c>
      <c r="F32" s="186"/>
      <c r="G32" s="186"/>
      <c r="H32" s="186"/>
      <c r="I32" s="2"/>
      <c r="J32" s="2"/>
      <c r="K32" s="2"/>
      <c r="L32" s="2"/>
      <c r="M32" s="2"/>
      <c r="N32" s="186" t="str">
        <f>" رئیس امور مالیاتی شهرستان "&amp;data!D8&amp;CHAR(10)&amp;data!D12</f>
        <v xml:space="preserve"> رئیس امور مالیاتی شهرستان اهواز
غلامرضا اسلامی</v>
      </c>
      <c r="O32" s="186"/>
      <c r="P32" s="186"/>
      <c r="Q32" s="186"/>
    </row>
    <row r="33" spans="5:17" ht="22.5">
      <c r="E33" s="186"/>
      <c r="F33" s="186"/>
      <c r="G33" s="186"/>
      <c r="H33" s="186"/>
      <c r="I33" s="2"/>
      <c r="J33" s="2"/>
      <c r="K33" s="2"/>
      <c r="L33" s="2"/>
      <c r="M33" s="2"/>
      <c r="N33" s="186"/>
      <c r="O33" s="186"/>
      <c r="P33" s="186"/>
      <c r="Q33" s="186"/>
    </row>
    <row r="34" spans="5:17" ht="22.5">
      <c r="E34" s="186"/>
      <c r="F34" s="186"/>
      <c r="G34" s="186"/>
      <c r="H34" s="186"/>
      <c r="I34" s="2"/>
      <c r="J34" s="2"/>
      <c r="K34" s="2"/>
      <c r="L34" s="2"/>
      <c r="M34" s="2"/>
      <c r="N34" s="186"/>
      <c r="O34" s="186"/>
      <c r="P34" s="186"/>
      <c r="Q34" s="186"/>
    </row>
    <row r="35" spans="5:17" ht="22.5">
      <c r="E35" s="186"/>
      <c r="F35" s="186"/>
      <c r="G35" s="186"/>
      <c r="H35" s="186"/>
      <c r="I35" s="2"/>
      <c r="J35" s="2"/>
      <c r="K35" s="2"/>
      <c r="L35" s="2"/>
      <c r="M35" s="2"/>
      <c r="N35" s="186"/>
      <c r="O35" s="186"/>
      <c r="P35" s="186"/>
      <c r="Q35" s="186"/>
    </row>
  </sheetData>
  <mergeCells count="34">
    <mergeCell ref="B24:S24"/>
    <mergeCell ref="B25:B29"/>
    <mergeCell ref="D25:Q25"/>
    <mergeCell ref="D26:Q26"/>
    <mergeCell ref="D27:Q27"/>
    <mergeCell ref="D28:Q28"/>
    <mergeCell ref="D29:Q29"/>
    <mergeCell ref="D14:Q14"/>
    <mergeCell ref="D15:Q15"/>
    <mergeCell ref="B16:S16"/>
    <mergeCell ref="B17:B23"/>
    <mergeCell ref="D17:Q17"/>
    <mergeCell ref="D18:Q18"/>
    <mergeCell ref="D19:Q19"/>
    <mergeCell ref="D20:Q20"/>
    <mergeCell ref="D21:Q21"/>
    <mergeCell ref="D22:Q22"/>
    <mergeCell ref="D23:Q23"/>
    <mergeCell ref="E32:H35"/>
    <mergeCell ref="N32:Q35"/>
    <mergeCell ref="B2:S2"/>
    <mergeCell ref="D3:Q3"/>
    <mergeCell ref="B4:S4"/>
    <mergeCell ref="B5:B6"/>
    <mergeCell ref="D5:Q5"/>
    <mergeCell ref="D6:Q6"/>
    <mergeCell ref="B7:S7"/>
    <mergeCell ref="B8:B15"/>
    <mergeCell ref="D8:Q8"/>
    <mergeCell ref="D9:Q9"/>
    <mergeCell ref="D10:Q10"/>
    <mergeCell ref="D11:Q11"/>
    <mergeCell ref="D12:Q12"/>
    <mergeCell ref="D13:Q13"/>
  </mergeCells>
  <printOptions horizontalCentered="1"/>
  <pageMargins left="0" right="0" top="0" bottom="0" header="0.51181102362204722" footer="0.39370078740157483"/>
  <pageSetup paperSize="9" scale="5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5606F-E8BF-4939-8CA8-6E3BEF4CEC73}">
  <sheetPr codeName="Sheet3">
    <tabColor theme="5"/>
  </sheetPr>
  <dimension ref="D2:P37"/>
  <sheetViews>
    <sheetView rightToLeft="1" topLeftCell="A10" workbookViewId="0">
      <selection activeCell="H2" sqref="H2:J3"/>
    </sheetView>
  </sheetViews>
  <sheetFormatPr defaultRowHeight="15"/>
  <cols>
    <col min="3" max="3" width="8.375" customWidth="1"/>
    <col min="13" max="13" width="11.125" bestFit="1" customWidth="1"/>
  </cols>
  <sheetData>
    <row r="2" spans="4:16" ht="22.5">
      <c r="E2" s="225" t="s">
        <v>28</v>
      </c>
      <c r="F2" s="225"/>
      <c r="G2" s="225"/>
      <c r="H2" s="226" t="s">
        <v>26</v>
      </c>
      <c r="I2" s="226"/>
      <c r="J2" s="226"/>
      <c r="K2" s="2"/>
      <c r="L2" s="2" t="s">
        <v>18</v>
      </c>
      <c r="M2" s="2">
        <f>data!M8</f>
        <v>0</v>
      </c>
    </row>
    <row r="3" spans="4:16" ht="22.5">
      <c r="E3" s="224" t="s">
        <v>65</v>
      </c>
      <c r="F3" s="224"/>
      <c r="G3" s="224"/>
      <c r="H3" s="226"/>
      <c r="I3" s="226"/>
      <c r="J3" s="226"/>
      <c r="K3" s="2"/>
      <c r="L3" s="2" t="s">
        <v>45</v>
      </c>
      <c r="M3" s="2">
        <f>data!N8</f>
        <v>0</v>
      </c>
    </row>
    <row r="4" spans="4:16" ht="22.5">
      <c r="E4" s="5" t="s">
        <v>30</v>
      </c>
      <c r="F4" s="5"/>
      <c r="G4" s="5"/>
      <c r="H4" s="2"/>
      <c r="I4" s="2"/>
      <c r="J4" s="2"/>
      <c r="K4" s="2"/>
      <c r="L4" s="2"/>
      <c r="M4" s="2"/>
    </row>
    <row r="5" spans="4:16">
      <c r="D5" s="223"/>
      <c r="E5" s="223"/>
      <c r="F5" s="223"/>
      <c r="G5" s="223"/>
      <c r="H5" s="223"/>
      <c r="I5" s="223"/>
      <c r="J5" s="223"/>
      <c r="K5" s="223"/>
      <c r="L5" s="223"/>
      <c r="M5" s="223"/>
    </row>
    <row r="6" spans="4:16">
      <c r="D6" s="223"/>
      <c r="E6" s="223"/>
      <c r="F6" s="223"/>
      <c r="G6" s="223"/>
      <c r="H6" s="223"/>
      <c r="I6" s="223"/>
      <c r="J6" s="223"/>
      <c r="K6" s="223"/>
      <c r="L6" s="223"/>
      <c r="M6" s="223"/>
    </row>
    <row r="7" spans="4:16">
      <c r="D7" s="223"/>
      <c r="E7" s="223"/>
      <c r="F7" s="223"/>
      <c r="G7" s="223"/>
      <c r="H7" s="223"/>
      <c r="I7" s="223"/>
      <c r="J7" s="223"/>
      <c r="K7" s="223"/>
      <c r="L7" s="223"/>
      <c r="M7" s="223"/>
    </row>
    <row r="8" spans="4:16">
      <c r="D8" s="214" t="str">
        <f ca="1">CHAR(10)&amp;CHAR(10)&amp;"   احتراما به پیوست یک فقره پرونده استرداد شماره "&amp;data!M5&amp;" مورخ "&amp;data!N5&amp;" مربوط  به "&amp;data!D4&amp;" با شماره اقتصادی"&amp;data!D5&amp;" به مبلغ "&amp;TEXT(data!H32,"#,##0")&amp;" ریال مربوط به مالیات  "&amp;data!D11&amp;" سال "&amp;data!D9&amp;" ارسال می گردد. مقتضی است دستور فرمایید ضمن بررسی و وفق مقررات نسبت به استرداد وجه فوق الذکر اقدام و کل مبلغ "&amp; TEXT(data!H32,"#,##0")&amp; " ریال طبق درخواست کتبی به حساب نامبرده به شماره شبا"&amp;data!D16&amp;" نزد بانک "&amp; data!D15&amp;" پرداخت گردد"</f>
        <v xml:space="preserve">
   احتراما به پیوست یک فقره پرونده استرداد شماره  مورخ  مربوط  به  با شماره اقتصادی به مبلغ 0 ریال مربوط به مالیات   سال  ارسال می گردد. مقتضی است دستور فرمایید ضمن بررسی و وفق مقررات نسبت به استرداد وجه فوق الذکر اقدام و کل مبلغ 0 ریال طبق درخواست کتبی به حساب نامبرده به شماره شبا نزد بانک  پرداخت گردد</v>
      </c>
      <c r="E8" s="215"/>
      <c r="F8" s="215"/>
      <c r="G8" s="215"/>
      <c r="H8" s="215"/>
      <c r="I8" s="215"/>
      <c r="J8" s="215"/>
      <c r="K8" s="215"/>
      <c r="L8" s="215"/>
      <c r="M8" s="216"/>
      <c r="P8" s="74"/>
    </row>
    <row r="9" spans="4:16">
      <c r="D9" s="217"/>
      <c r="E9" s="218"/>
      <c r="F9" s="218"/>
      <c r="G9" s="218"/>
      <c r="H9" s="218"/>
      <c r="I9" s="218"/>
      <c r="J9" s="218"/>
      <c r="K9" s="218"/>
      <c r="L9" s="218"/>
      <c r="M9" s="219"/>
    </row>
    <row r="10" spans="4:16">
      <c r="D10" s="217"/>
      <c r="E10" s="218"/>
      <c r="F10" s="218"/>
      <c r="G10" s="218"/>
      <c r="H10" s="218"/>
      <c r="I10" s="218"/>
      <c r="J10" s="218"/>
      <c r="K10" s="218"/>
      <c r="L10" s="218"/>
      <c r="M10" s="219"/>
    </row>
    <row r="11" spans="4:16">
      <c r="D11" s="217"/>
      <c r="E11" s="218"/>
      <c r="F11" s="218"/>
      <c r="G11" s="218"/>
      <c r="H11" s="218"/>
      <c r="I11" s="218"/>
      <c r="J11" s="218"/>
      <c r="K11" s="218"/>
      <c r="L11" s="218"/>
      <c r="M11" s="219"/>
    </row>
    <row r="12" spans="4:16">
      <c r="D12" s="217"/>
      <c r="E12" s="218"/>
      <c r="F12" s="218"/>
      <c r="G12" s="218"/>
      <c r="H12" s="218"/>
      <c r="I12" s="218"/>
      <c r="J12" s="218"/>
      <c r="K12" s="218"/>
      <c r="L12" s="218"/>
      <c r="M12" s="219"/>
    </row>
    <row r="13" spans="4:16">
      <c r="D13" s="217"/>
      <c r="E13" s="218"/>
      <c r="F13" s="218"/>
      <c r="G13" s="218"/>
      <c r="H13" s="218"/>
      <c r="I13" s="218"/>
      <c r="J13" s="218"/>
      <c r="K13" s="218"/>
      <c r="L13" s="218"/>
      <c r="M13" s="219"/>
    </row>
    <row r="14" spans="4:16">
      <c r="D14" s="217"/>
      <c r="E14" s="218"/>
      <c r="F14" s="218"/>
      <c r="G14" s="218"/>
      <c r="H14" s="218"/>
      <c r="I14" s="218"/>
      <c r="J14" s="218"/>
      <c r="K14" s="218"/>
      <c r="L14" s="218"/>
      <c r="M14" s="219"/>
    </row>
    <row r="15" spans="4:16">
      <c r="D15" s="217"/>
      <c r="E15" s="218"/>
      <c r="F15" s="218"/>
      <c r="G15" s="218"/>
      <c r="H15" s="218"/>
      <c r="I15" s="218"/>
      <c r="J15" s="218"/>
      <c r="K15" s="218"/>
      <c r="L15" s="218"/>
      <c r="M15" s="219"/>
    </row>
    <row r="16" spans="4:16">
      <c r="D16" s="217"/>
      <c r="E16" s="218"/>
      <c r="F16" s="218"/>
      <c r="G16" s="218"/>
      <c r="H16" s="218"/>
      <c r="I16" s="218"/>
      <c r="J16" s="218"/>
      <c r="K16" s="218"/>
      <c r="L16" s="218"/>
      <c r="M16" s="219"/>
    </row>
    <row r="17" spans="4:13">
      <c r="D17" s="217"/>
      <c r="E17" s="218"/>
      <c r="F17" s="218"/>
      <c r="G17" s="218"/>
      <c r="H17" s="218"/>
      <c r="I17" s="218"/>
      <c r="J17" s="218"/>
      <c r="K17" s="218"/>
      <c r="L17" s="218"/>
      <c r="M17" s="219"/>
    </row>
    <row r="18" spans="4:13">
      <c r="D18" s="217"/>
      <c r="E18" s="218"/>
      <c r="F18" s="218"/>
      <c r="G18" s="218"/>
      <c r="H18" s="218"/>
      <c r="I18" s="218"/>
      <c r="J18" s="218"/>
      <c r="K18" s="218"/>
      <c r="L18" s="218"/>
      <c r="M18" s="219"/>
    </row>
    <row r="19" spans="4:13">
      <c r="D19" s="217"/>
      <c r="E19" s="218"/>
      <c r="F19" s="218"/>
      <c r="G19" s="218"/>
      <c r="H19" s="218"/>
      <c r="I19" s="218"/>
      <c r="J19" s="218"/>
      <c r="K19" s="218"/>
      <c r="L19" s="218"/>
      <c r="M19" s="219"/>
    </row>
    <row r="20" spans="4:13">
      <c r="D20" s="217"/>
      <c r="E20" s="218"/>
      <c r="F20" s="218"/>
      <c r="G20" s="218"/>
      <c r="H20" s="218"/>
      <c r="I20" s="218"/>
      <c r="J20" s="218"/>
      <c r="K20" s="218"/>
      <c r="L20" s="218"/>
      <c r="M20" s="219"/>
    </row>
    <row r="21" spans="4:13">
      <c r="D21" s="217"/>
      <c r="E21" s="218"/>
      <c r="F21" s="218"/>
      <c r="G21" s="218"/>
      <c r="H21" s="218"/>
      <c r="I21" s="218"/>
      <c r="J21" s="218"/>
      <c r="K21" s="218"/>
      <c r="L21" s="218"/>
      <c r="M21" s="219"/>
    </row>
    <row r="22" spans="4:13">
      <c r="D22" s="217"/>
      <c r="E22" s="218"/>
      <c r="F22" s="218"/>
      <c r="G22" s="218"/>
      <c r="H22" s="218"/>
      <c r="I22" s="218"/>
      <c r="J22" s="218"/>
      <c r="K22" s="218"/>
      <c r="L22" s="218"/>
      <c r="M22" s="219"/>
    </row>
    <row r="23" spans="4:13">
      <c r="D23" s="217"/>
      <c r="E23" s="218"/>
      <c r="F23" s="218"/>
      <c r="G23" s="218"/>
      <c r="H23" s="218"/>
      <c r="I23" s="218"/>
      <c r="J23" s="218"/>
      <c r="K23" s="218"/>
      <c r="L23" s="218"/>
      <c r="M23" s="219"/>
    </row>
    <row r="24" spans="4:13">
      <c r="D24" s="217"/>
      <c r="E24" s="218"/>
      <c r="F24" s="218"/>
      <c r="G24" s="218"/>
      <c r="H24" s="218"/>
      <c r="I24" s="218"/>
      <c r="J24" s="218"/>
      <c r="K24" s="218"/>
      <c r="L24" s="218"/>
      <c r="M24" s="219"/>
    </row>
    <row r="25" spans="4:13">
      <c r="D25" s="217"/>
      <c r="E25" s="218"/>
      <c r="F25" s="218"/>
      <c r="G25" s="218"/>
      <c r="H25" s="218"/>
      <c r="I25" s="218"/>
      <c r="J25" s="218"/>
      <c r="K25" s="218"/>
      <c r="L25" s="218"/>
      <c r="M25" s="219"/>
    </row>
    <row r="26" spans="4:13">
      <c r="D26" s="217"/>
      <c r="E26" s="218"/>
      <c r="F26" s="218"/>
      <c r="G26" s="218"/>
      <c r="H26" s="218"/>
      <c r="I26" s="218"/>
      <c r="J26" s="218"/>
      <c r="K26" s="218"/>
      <c r="L26" s="218"/>
      <c r="M26" s="219"/>
    </row>
    <row r="27" spans="4:13">
      <c r="D27" s="217"/>
      <c r="E27" s="218"/>
      <c r="F27" s="218"/>
      <c r="G27" s="218"/>
      <c r="H27" s="218"/>
      <c r="I27" s="218"/>
      <c r="J27" s="218"/>
      <c r="K27" s="218"/>
      <c r="L27" s="218"/>
      <c r="M27" s="219"/>
    </row>
    <row r="28" spans="4:13">
      <c r="D28" s="217"/>
      <c r="E28" s="218"/>
      <c r="F28" s="218"/>
      <c r="G28" s="218"/>
      <c r="H28" s="218"/>
      <c r="I28" s="218"/>
      <c r="J28" s="218"/>
      <c r="K28" s="218"/>
      <c r="L28" s="218"/>
      <c r="M28" s="219"/>
    </row>
    <row r="29" spans="4:13">
      <c r="D29" s="217"/>
      <c r="E29" s="218"/>
      <c r="F29" s="218"/>
      <c r="G29" s="218"/>
      <c r="H29" s="218"/>
      <c r="I29" s="218"/>
      <c r="J29" s="218"/>
      <c r="K29" s="218"/>
      <c r="L29" s="218"/>
      <c r="M29" s="219"/>
    </row>
    <row r="30" spans="4:13">
      <c r="D30" s="217"/>
      <c r="E30" s="218"/>
      <c r="F30" s="218"/>
      <c r="G30" s="218"/>
      <c r="H30" s="218"/>
      <c r="I30" s="218"/>
      <c r="J30" s="218"/>
      <c r="K30" s="218"/>
      <c r="L30" s="218"/>
      <c r="M30" s="219"/>
    </row>
    <row r="31" spans="4:13">
      <c r="D31" s="217"/>
      <c r="E31" s="218"/>
      <c r="F31" s="218"/>
      <c r="G31" s="218"/>
      <c r="H31" s="218"/>
      <c r="I31" s="218"/>
      <c r="J31" s="218"/>
      <c r="K31" s="218"/>
      <c r="L31" s="218"/>
      <c r="M31" s="219"/>
    </row>
    <row r="32" spans="4:13">
      <c r="D32" s="217"/>
      <c r="E32" s="218"/>
      <c r="F32" s="218"/>
      <c r="G32" s="218"/>
      <c r="H32" s="218"/>
      <c r="I32" s="218"/>
      <c r="J32" s="218"/>
      <c r="K32" s="218"/>
      <c r="L32" s="218"/>
      <c r="M32" s="219"/>
    </row>
    <row r="33" spans="4:13">
      <c r="D33" s="217"/>
      <c r="E33" s="218"/>
      <c r="F33" s="218"/>
      <c r="G33" s="218"/>
      <c r="H33" s="218"/>
      <c r="I33" s="218"/>
      <c r="J33" s="218"/>
      <c r="K33" s="218"/>
      <c r="L33" s="218"/>
      <c r="M33" s="219"/>
    </row>
    <row r="34" spans="4:13">
      <c r="D34" s="217"/>
      <c r="E34" s="218"/>
      <c r="F34" s="218"/>
      <c r="G34" s="218"/>
      <c r="H34" s="218"/>
      <c r="I34" s="218"/>
      <c r="J34" s="218"/>
      <c r="K34" s="218"/>
      <c r="L34" s="218"/>
      <c r="M34" s="219"/>
    </row>
    <row r="35" spans="4:13">
      <c r="D35" s="217"/>
      <c r="E35" s="218"/>
      <c r="F35" s="218"/>
      <c r="G35" s="218"/>
      <c r="H35" s="218"/>
      <c r="I35" s="218"/>
      <c r="J35" s="218"/>
      <c r="K35" s="218"/>
      <c r="L35" s="218"/>
      <c r="M35" s="219"/>
    </row>
    <row r="36" spans="4:13">
      <c r="D36" s="217"/>
      <c r="E36" s="218"/>
      <c r="F36" s="218"/>
      <c r="G36" s="218"/>
      <c r="H36" s="218"/>
      <c r="I36" s="218"/>
      <c r="J36" s="218"/>
      <c r="K36" s="218"/>
      <c r="L36" s="218"/>
      <c r="M36" s="219"/>
    </row>
    <row r="37" spans="4:13">
      <c r="D37" s="220"/>
      <c r="E37" s="221"/>
      <c r="F37" s="221"/>
      <c r="G37" s="221"/>
      <c r="H37" s="221"/>
      <c r="I37" s="221"/>
      <c r="J37" s="221"/>
      <c r="K37" s="221"/>
      <c r="L37" s="221"/>
      <c r="M37" s="222"/>
    </row>
  </sheetData>
  <mergeCells count="5">
    <mergeCell ref="D8:M37"/>
    <mergeCell ref="D5:M7"/>
    <mergeCell ref="E3:G3"/>
    <mergeCell ref="E2:G2"/>
    <mergeCell ref="H2:J3"/>
  </mergeCells>
  <printOptions horizontalCentered="1"/>
  <pageMargins left="0" right="0" top="0.74803149606299213" bottom="0.74803149606299213" header="0.31496062992125984" footer="0.31496062992125984"/>
  <pageSetup paperSize="9" scale="85"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27B8F-0036-4AAC-BBBF-8AFF1B91D449}">
  <sheetPr codeName="Sheet4">
    <tabColor rgb="FFFF0000"/>
  </sheetPr>
  <dimension ref="D3:M60"/>
  <sheetViews>
    <sheetView rightToLeft="1" topLeftCell="A16" workbookViewId="0">
      <selection activeCell="D5" sqref="D5:M40"/>
    </sheetView>
  </sheetViews>
  <sheetFormatPr defaultRowHeight="15"/>
  <sheetData>
    <row r="3" spans="4:13">
      <c r="D3" s="227" t="s">
        <v>95</v>
      </c>
      <c r="E3" s="228"/>
      <c r="F3" s="228"/>
      <c r="G3" s="228"/>
      <c r="H3" s="228"/>
      <c r="I3" s="228"/>
      <c r="J3" s="228"/>
      <c r="K3" s="228"/>
      <c r="L3" s="228"/>
      <c r="M3" s="229"/>
    </row>
    <row r="4" spans="4:13">
      <c r="D4" s="230"/>
      <c r="E4" s="231"/>
      <c r="F4" s="231"/>
      <c r="G4" s="231"/>
      <c r="H4" s="231"/>
      <c r="I4" s="231"/>
      <c r="J4" s="231"/>
      <c r="K4" s="231"/>
      <c r="L4" s="231"/>
      <c r="M4" s="232"/>
    </row>
    <row r="5" spans="4:13" ht="14.25" customHeight="1">
      <c r="D5" s="214" t="str">
        <f>CHAR(10)&amp;CHAR(10)&amp;" به: کلیه واحد های اداره امور مالیاتی شهرستان "&amp;data!D8&amp;CHAR(10)&amp;CHAR(10)&amp;CHAR(10)&amp;" با سلام"&amp;CHAR(10)&amp;" احتراما، نظر به اینکه مودی "&amp;data!D4&amp;" با کد اقتصادی "&amp;data!D5&amp;" به نشانی "&amp;data!D17&amp;" در واحد مالیاتی "&amp;data!D6&amp;" درخواست استرداد نموده است، از این رو خواهشمند است ضمن بررسی سوابق نامبرده در آن حوزه مالیاتی مراتب بدهی و یا عدم بدهکاری مشارالیه را جهت اقدامات بعدی در ذیل همین نامه به این واحد مالیاتی اعلام فرمایید."&amp;CHAR(10)&amp;CHAR(10)&amp;" 1- واحد ارث:"&amp;CHAR(10)&amp;CHAR(10)&amp;CHAR(10)&amp;" 2- واحد وصول و اجرا:"&amp;CHAR(10)&amp;CHAR(10)&amp;CHAR(10)&amp;" 3- واحد شرکت ها و حقوق"&amp;CHAR(10)&amp;CHAR(10)&amp;CHAR(10)&amp;" 4- واحد مشاغل:"&amp;CHAR(10)&amp;CHAR(10)&amp;CHAR(10)&amp;" 5- واحد ارزش افزوده:"</f>
        <v xml:space="preserve">
 به: کلیه واحد های اداره امور مالیاتی شهرستان اهواز
 با سلام
 احتراما، نظر به اینکه مودی  با کد اقتصادی  به نشانی  در واحد مالیاتی 160300 درخواست استرداد نموده است، از این رو خواهشمند است ضمن بررسی سوابق نامبرده در آن حوزه مالیاتی مراتب بدهی و یا عدم بدهکاری مشارالیه را جهت اقدامات بعدی در ذیل همین نامه به این واحد مالیاتی اعلام فرمایید.
 1- واحد ارث:
 2- واحد وصول و اجرا:
 3- واحد شرکت ها و حقوق
 4- واحد مشاغل:
 5- واحد ارزش افزوده:</v>
      </c>
      <c r="E5" s="215"/>
      <c r="F5" s="215"/>
      <c r="G5" s="215"/>
      <c r="H5" s="215"/>
      <c r="I5" s="215"/>
      <c r="J5" s="215"/>
      <c r="K5" s="215"/>
      <c r="L5" s="215"/>
      <c r="M5" s="216"/>
    </row>
    <row r="6" spans="4:13" ht="14.25" customHeight="1">
      <c r="D6" s="217"/>
      <c r="E6" s="218"/>
      <c r="F6" s="218"/>
      <c r="G6" s="218"/>
      <c r="H6" s="218"/>
      <c r="I6" s="218"/>
      <c r="J6" s="218"/>
      <c r="K6" s="218"/>
      <c r="L6" s="218"/>
      <c r="M6" s="219"/>
    </row>
    <row r="7" spans="4:13" ht="14.25" customHeight="1">
      <c r="D7" s="217"/>
      <c r="E7" s="218"/>
      <c r="F7" s="218"/>
      <c r="G7" s="218"/>
      <c r="H7" s="218"/>
      <c r="I7" s="218"/>
      <c r="J7" s="218"/>
      <c r="K7" s="218"/>
      <c r="L7" s="218"/>
      <c r="M7" s="219"/>
    </row>
    <row r="8" spans="4:13" ht="14.25" customHeight="1">
      <c r="D8" s="217"/>
      <c r="E8" s="218"/>
      <c r="F8" s="218"/>
      <c r="G8" s="218"/>
      <c r="H8" s="218"/>
      <c r="I8" s="218"/>
      <c r="J8" s="218"/>
      <c r="K8" s="218"/>
      <c r="L8" s="218"/>
      <c r="M8" s="219"/>
    </row>
    <row r="9" spans="4:13" ht="14.25" customHeight="1">
      <c r="D9" s="217"/>
      <c r="E9" s="218"/>
      <c r="F9" s="218"/>
      <c r="G9" s="218"/>
      <c r="H9" s="218"/>
      <c r="I9" s="218"/>
      <c r="J9" s="218"/>
      <c r="K9" s="218"/>
      <c r="L9" s="218"/>
      <c r="M9" s="219"/>
    </row>
    <row r="10" spans="4:13" ht="14.25" customHeight="1">
      <c r="D10" s="217"/>
      <c r="E10" s="218"/>
      <c r="F10" s="218"/>
      <c r="G10" s="218"/>
      <c r="H10" s="218"/>
      <c r="I10" s="218"/>
      <c r="J10" s="218"/>
      <c r="K10" s="218"/>
      <c r="L10" s="218"/>
      <c r="M10" s="219"/>
    </row>
    <row r="11" spans="4:13" ht="14.25" customHeight="1">
      <c r="D11" s="217"/>
      <c r="E11" s="218"/>
      <c r="F11" s="218"/>
      <c r="G11" s="218"/>
      <c r="H11" s="218"/>
      <c r="I11" s="218"/>
      <c r="J11" s="218"/>
      <c r="K11" s="218"/>
      <c r="L11" s="218"/>
      <c r="M11" s="219"/>
    </row>
    <row r="12" spans="4:13" ht="14.25" customHeight="1">
      <c r="D12" s="217"/>
      <c r="E12" s="218"/>
      <c r="F12" s="218"/>
      <c r="G12" s="218"/>
      <c r="H12" s="218"/>
      <c r="I12" s="218"/>
      <c r="J12" s="218"/>
      <c r="K12" s="218"/>
      <c r="L12" s="218"/>
      <c r="M12" s="219"/>
    </row>
    <row r="13" spans="4:13" ht="14.25" customHeight="1">
      <c r="D13" s="217"/>
      <c r="E13" s="218"/>
      <c r="F13" s="218"/>
      <c r="G13" s="218"/>
      <c r="H13" s="218"/>
      <c r="I13" s="218"/>
      <c r="J13" s="218"/>
      <c r="K13" s="218"/>
      <c r="L13" s="218"/>
      <c r="M13" s="219"/>
    </row>
    <row r="14" spans="4:13" ht="14.25" customHeight="1">
      <c r="D14" s="217"/>
      <c r="E14" s="218"/>
      <c r="F14" s="218"/>
      <c r="G14" s="218"/>
      <c r="H14" s="218"/>
      <c r="I14" s="218"/>
      <c r="J14" s="218"/>
      <c r="K14" s="218"/>
      <c r="L14" s="218"/>
      <c r="M14" s="219"/>
    </row>
    <row r="15" spans="4:13" ht="14.25" customHeight="1">
      <c r="D15" s="217"/>
      <c r="E15" s="218"/>
      <c r="F15" s="218"/>
      <c r="G15" s="218"/>
      <c r="H15" s="218"/>
      <c r="I15" s="218"/>
      <c r="J15" s="218"/>
      <c r="K15" s="218"/>
      <c r="L15" s="218"/>
      <c r="M15" s="219"/>
    </row>
    <row r="16" spans="4:13" ht="14.25" customHeight="1">
      <c r="D16" s="217"/>
      <c r="E16" s="218"/>
      <c r="F16" s="218"/>
      <c r="G16" s="218"/>
      <c r="H16" s="218"/>
      <c r="I16" s="218"/>
      <c r="J16" s="218"/>
      <c r="K16" s="218"/>
      <c r="L16" s="218"/>
      <c r="M16" s="219"/>
    </row>
    <row r="17" spans="4:13" ht="14.25" customHeight="1">
      <c r="D17" s="217"/>
      <c r="E17" s="218"/>
      <c r="F17" s="218"/>
      <c r="G17" s="218"/>
      <c r="H17" s="218"/>
      <c r="I17" s="218"/>
      <c r="J17" s="218"/>
      <c r="K17" s="218"/>
      <c r="L17" s="218"/>
      <c r="M17" s="219"/>
    </row>
    <row r="18" spans="4:13" ht="14.25" customHeight="1">
      <c r="D18" s="217"/>
      <c r="E18" s="218"/>
      <c r="F18" s="218"/>
      <c r="G18" s="218"/>
      <c r="H18" s="218"/>
      <c r="I18" s="218"/>
      <c r="J18" s="218"/>
      <c r="K18" s="218"/>
      <c r="L18" s="218"/>
      <c r="M18" s="219"/>
    </row>
    <row r="19" spans="4:13" ht="14.25" customHeight="1">
      <c r="D19" s="217"/>
      <c r="E19" s="218"/>
      <c r="F19" s="218"/>
      <c r="G19" s="218"/>
      <c r="H19" s="218"/>
      <c r="I19" s="218"/>
      <c r="J19" s="218"/>
      <c r="K19" s="218"/>
      <c r="L19" s="218"/>
      <c r="M19" s="219"/>
    </row>
    <row r="20" spans="4:13" ht="14.25" customHeight="1">
      <c r="D20" s="217"/>
      <c r="E20" s="218"/>
      <c r="F20" s="218"/>
      <c r="G20" s="218"/>
      <c r="H20" s="218"/>
      <c r="I20" s="218"/>
      <c r="J20" s="218"/>
      <c r="K20" s="218"/>
      <c r="L20" s="218"/>
      <c r="M20" s="219"/>
    </row>
    <row r="21" spans="4:13" ht="14.25" customHeight="1">
      <c r="D21" s="217"/>
      <c r="E21" s="218"/>
      <c r="F21" s="218"/>
      <c r="G21" s="218"/>
      <c r="H21" s="218"/>
      <c r="I21" s="218"/>
      <c r="J21" s="218"/>
      <c r="K21" s="218"/>
      <c r="L21" s="218"/>
      <c r="M21" s="219"/>
    </row>
    <row r="22" spans="4:13" ht="14.25" customHeight="1">
      <c r="D22" s="217"/>
      <c r="E22" s="218"/>
      <c r="F22" s="218"/>
      <c r="G22" s="218"/>
      <c r="H22" s="218"/>
      <c r="I22" s="218"/>
      <c r="J22" s="218"/>
      <c r="K22" s="218"/>
      <c r="L22" s="218"/>
      <c r="M22" s="219"/>
    </row>
    <row r="23" spans="4:13" ht="14.25" customHeight="1">
      <c r="D23" s="217"/>
      <c r="E23" s="218"/>
      <c r="F23" s="218"/>
      <c r="G23" s="218"/>
      <c r="H23" s="218"/>
      <c r="I23" s="218"/>
      <c r="J23" s="218"/>
      <c r="K23" s="218"/>
      <c r="L23" s="218"/>
      <c r="M23" s="219"/>
    </row>
    <row r="24" spans="4:13" ht="14.25" customHeight="1">
      <c r="D24" s="217"/>
      <c r="E24" s="218"/>
      <c r="F24" s="218"/>
      <c r="G24" s="218"/>
      <c r="H24" s="218"/>
      <c r="I24" s="218"/>
      <c r="J24" s="218"/>
      <c r="K24" s="218"/>
      <c r="L24" s="218"/>
      <c r="M24" s="219"/>
    </row>
    <row r="25" spans="4:13" ht="14.25" customHeight="1">
      <c r="D25" s="217"/>
      <c r="E25" s="218"/>
      <c r="F25" s="218"/>
      <c r="G25" s="218"/>
      <c r="H25" s="218"/>
      <c r="I25" s="218"/>
      <c r="J25" s="218"/>
      <c r="K25" s="218"/>
      <c r="L25" s="218"/>
      <c r="M25" s="219"/>
    </row>
    <row r="26" spans="4:13" ht="14.25" customHeight="1">
      <c r="D26" s="217"/>
      <c r="E26" s="218"/>
      <c r="F26" s="218"/>
      <c r="G26" s="218"/>
      <c r="H26" s="218"/>
      <c r="I26" s="218"/>
      <c r="J26" s="218"/>
      <c r="K26" s="218"/>
      <c r="L26" s="218"/>
      <c r="M26" s="219"/>
    </row>
    <row r="27" spans="4:13" ht="14.25" customHeight="1">
      <c r="D27" s="217"/>
      <c r="E27" s="218"/>
      <c r="F27" s="218"/>
      <c r="G27" s="218"/>
      <c r="H27" s="218"/>
      <c r="I27" s="218"/>
      <c r="J27" s="218"/>
      <c r="K27" s="218"/>
      <c r="L27" s="218"/>
      <c r="M27" s="219"/>
    </row>
    <row r="28" spans="4:13" ht="14.25" customHeight="1">
      <c r="D28" s="217"/>
      <c r="E28" s="218"/>
      <c r="F28" s="218"/>
      <c r="G28" s="218"/>
      <c r="H28" s="218"/>
      <c r="I28" s="218"/>
      <c r="J28" s="218"/>
      <c r="K28" s="218"/>
      <c r="L28" s="218"/>
      <c r="M28" s="219"/>
    </row>
    <row r="29" spans="4:13" ht="14.25" customHeight="1">
      <c r="D29" s="217"/>
      <c r="E29" s="218"/>
      <c r="F29" s="218"/>
      <c r="G29" s="218"/>
      <c r="H29" s="218"/>
      <c r="I29" s="218"/>
      <c r="J29" s="218"/>
      <c r="K29" s="218"/>
      <c r="L29" s="218"/>
      <c r="M29" s="219"/>
    </row>
    <row r="30" spans="4:13" ht="14.25" customHeight="1">
      <c r="D30" s="217"/>
      <c r="E30" s="218"/>
      <c r="F30" s="218"/>
      <c r="G30" s="218"/>
      <c r="H30" s="218"/>
      <c r="I30" s="218"/>
      <c r="J30" s="218"/>
      <c r="K30" s="218"/>
      <c r="L30" s="218"/>
      <c r="M30" s="219"/>
    </row>
    <row r="31" spans="4:13" ht="14.25" customHeight="1">
      <c r="D31" s="217"/>
      <c r="E31" s="218"/>
      <c r="F31" s="218"/>
      <c r="G31" s="218"/>
      <c r="H31" s="218"/>
      <c r="I31" s="218"/>
      <c r="J31" s="218"/>
      <c r="K31" s="218"/>
      <c r="L31" s="218"/>
      <c r="M31" s="219"/>
    </row>
    <row r="32" spans="4:13" ht="14.25" customHeight="1">
      <c r="D32" s="217"/>
      <c r="E32" s="218"/>
      <c r="F32" s="218"/>
      <c r="G32" s="218"/>
      <c r="H32" s="218"/>
      <c r="I32" s="218"/>
      <c r="J32" s="218"/>
      <c r="K32" s="218"/>
      <c r="L32" s="218"/>
      <c r="M32" s="219"/>
    </row>
    <row r="33" spans="4:13" ht="14.25" customHeight="1">
      <c r="D33" s="217"/>
      <c r="E33" s="218"/>
      <c r="F33" s="218"/>
      <c r="G33" s="218"/>
      <c r="H33" s="218"/>
      <c r="I33" s="218"/>
      <c r="J33" s="218"/>
      <c r="K33" s="218"/>
      <c r="L33" s="218"/>
      <c r="M33" s="219"/>
    </row>
    <row r="34" spans="4:13" ht="14.25" customHeight="1">
      <c r="D34" s="217"/>
      <c r="E34" s="218"/>
      <c r="F34" s="218"/>
      <c r="G34" s="218"/>
      <c r="H34" s="218"/>
      <c r="I34" s="218"/>
      <c r="J34" s="218"/>
      <c r="K34" s="218"/>
      <c r="L34" s="218"/>
      <c r="M34" s="219"/>
    </row>
    <row r="35" spans="4:13" ht="22.5" customHeight="1">
      <c r="D35" s="217"/>
      <c r="E35" s="218"/>
      <c r="F35" s="218"/>
      <c r="G35" s="218"/>
      <c r="H35" s="218"/>
      <c r="I35" s="218"/>
      <c r="J35" s="218"/>
      <c r="K35" s="218"/>
      <c r="L35" s="218"/>
      <c r="M35" s="219"/>
    </row>
    <row r="36" spans="4:13" ht="22.5" customHeight="1">
      <c r="D36" s="217"/>
      <c r="E36" s="218"/>
      <c r="F36" s="218"/>
      <c r="G36" s="218"/>
      <c r="H36" s="218"/>
      <c r="I36" s="218"/>
      <c r="J36" s="218"/>
      <c r="K36" s="218"/>
      <c r="L36" s="218"/>
      <c r="M36" s="219"/>
    </row>
    <row r="37" spans="4:13" ht="22.5" customHeight="1">
      <c r="D37" s="217"/>
      <c r="E37" s="218"/>
      <c r="F37" s="218"/>
      <c r="G37" s="218"/>
      <c r="H37" s="218"/>
      <c r="I37" s="218"/>
      <c r="J37" s="218"/>
      <c r="K37" s="218"/>
      <c r="L37" s="218"/>
      <c r="M37" s="219"/>
    </row>
    <row r="38" spans="4:13" ht="22.5" customHeight="1">
      <c r="D38" s="217"/>
      <c r="E38" s="218"/>
      <c r="F38" s="218"/>
      <c r="G38" s="218"/>
      <c r="H38" s="218"/>
      <c r="I38" s="218"/>
      <c r="J38" s="218"/>
      <c r="K38" s="218"/>
      <c r="L38" s="218"/>
      <c r="M38" s="219"/>
    </row>
    <row r="39" spans="4:13" ht="22.5" customHeight="1">
      <c r="D39" s="217"/>
      <c r="E39" s="218"/>
      <c r="F39" s="218"/>
      <c r="G39" s="218"/>
      <c r="H39" s="218"/>
      <c r="I39" s="218"/>
      <c r="J39" s="218"/>
      <c r="K39" s="218"/>
      <c r="L39" s="218"/>
      <c r="M39" s="219"/>
    </row>
    <row r="40" spans="4:13" ht="22.5" customHeight="1">
      <c r="D40" s="217"/>
      <c r="E40" s="218"/>
      <c r="F40" s="218"/>
      <c r="G40" s="218"/>
      <c r="H40" s="218"/>
      <c r="I40" s="218"/>
      <c r="J40" s="218"/>
      <c r="K40" s="218"/>
      <c r="L40" s="218"/>
      <c r="M40" s="219"/>
    </row>
    <row r="41" spans="4:13">
      <c r="D41" s="19"/>
      <c r="E41" s="8"/>
      <c r="F41" s="8"/>
      <c r="G41" s="8"/>
      <c r="H41" s="8"/>
      <c r="I41" s="8"/>
      <c r="J41" s="8"/>
      <c r="K41" s="8"/>
      <c r="L41" s="8"/>
      <c r="M41" s="28"/>
    </row>
    <row r="42" spans="4:13" ht="71.25" customHeight="1">
      <c r="D42" s="19"/>
      <c r="E42" s="233" t="str">
        <f>" کارشناس ارشد مالیاتی شهرستان "&amp;data!D8&amp;CHAR(10)&amp;data!D14</f>
        <v xml:space="preserve"> کارشناس ارشد مالیاتی شهرستان اهواز
مهدی دلفی</v>
      </c>
      <c r="F42" s="233"/>
      <c r="G42" s="233"/>
      <c r="H42" s="233"/>
      <c r="I42" s="8"/>
      <c r="J42" s="8"/>
      <c r="K42" s="8"/>
      <c r="L42" s="8"/>
      <c r="M42" s="28"/>
    </row>
    <row r="43" spans="4:13">
      <c r="D43" s="19"/>
      <c r="E43" s="233"/>
      <c r="F43" s="233"/>
      <c r="G43" s="233"/>
      <c r="H43" s="233"/>
      <c r="I43" s="8"/>
      <c r="J43" s="8"/>
      <c r="K43" s="8"/>
      <c r="L43" s="8"/>
      <c r="M43" s="28"/>
    </row>
    <row r="44" spans="4:13">
      <c r="D44" s="19"/>
      <c r="E44" s="233"/>
      <c r="F44" s="233"/>
      <c r="G44" s="233"/>
      <c r="H44" s="233"/>
      <c r="I44" s="8"/>
      <c r="J44" s="8"/>
      <c r="K44" s="8"/>
      <c r="L44" s="8"/>
      <c r="M44" s="28"/>
    </row>
    <row r="45" spans="4:13">
      <c r="D45" s="29"/>
      <c r="E45" s="234"/>
      <c r="F45" s="234"/>
      <c r="G45" s="234"/>
      <c r="H45" s="234"/>
      <c r="I45" s="30"/>
      <c r="J45" s="30"/>
      <c r="K45" s="30"/>
      <c r="L45" s="30"/>
      <c r="M45" s="31"/>
    </row>
    <row r="46" spans="4:13">
      <c r="D46" s="8"/>
      <c r="E46" s="8"/>
      <c r="F46" s="8"/>
      <c r="G46" s="8"/>
      <c r="H46" s="8"/>
      <c r="I46" s="8"/>
      <c r="J46" s="8"/>
      <c r="K46" s="8"/>
      <c r="L46" s="8"/>
      <c r="M46" s="8"/>
    </row>
    <row r="47" spans="4:13">
      <c r="D47" s="8"/>
      <c r="E47" s="8"/>
      <c r="F47" s="8"/>
      <c r="G47" s="8"/>
      <c r="H47" s="8"/>
      <c r="I47" s="8"/>
      <c r="J47" s="8"/>
      <c r="K47" s="8"/>
      <c r="L47" s="8"/>
      <c r="M47" s="8"/>
    </row>
    <row r="48" spans="4:13">
      <c r="D48" s="8"/>
      <c r="E48" s="8"/>
      <c r="F48" s="8"/>
      <c r="G48" s="8"/>
      <c r="H48" s="8"/>
      <c r="I48" s="8"/>
      <c r="J48" s="8"/>
      <c r="K48" s="8"/>
      <c r="L48" s="8"/>
      <c r="M48" s="8"/>
    </row>
    <row r="49" spans="4:13">
      <c r="D49" s="8"/>
      <c r="E49" s="8"/>
      <c r="F49" s="8"/>
      <c r="G49" s="8"/>
      <c r="H49" s="8"/>
      <c r="I49" s="8"/>
      <c r="J49" s="8"/>
      <c r="K49" s="8"/>
      <c r="L49" s="8"/>
      <c r="M49" s="8"/>
    </row>
    <row r="50" spans="4:13">
      <c r="D50" s="8"/>
      <c r="E50" s="8"/>
      <c r="F50" s="8"/>
      <c r="G50" s="8"/>
      <c r="H50" s="8"/>
      <c r="I50" s="8"/>
      <c r="J50" s="8"/>
      <c r="K50" s="8"/>
      <c r="L50" s="8"/>
      <c r="M50" s="8"/>
    </row>
    <row r="51" spans="4:13">
      <c r="D51" s="8"/>
      <c r="E51" s="8"/>
      <c r="F51" s="8"/>
      <c r="G51" s="8"/>
      <c r="H51" s="8"/>
      <c r="I51" s="8"/>
      <c r="J51" s="8"/>
      <c r="K51" s="8"/>
      <c r="L51" s="8"/>
      <c r="M51" s="8"/>
    </row>
    <row r="52" spans="4:13">
      <c r="D52" s="8"/>
      <c r="E52" s="8"/>
      <c r="F52" s="8"/>
      <c r="G52" s="8"/>
      <c r="H52" s="8"/>
      <c r="I52" s="8"/>
      <c r="J52" s="8"/>
      <c r="K52" s="8"/>
      <c r="L52" s="8"/>
      <c r="M52" s="8"/>
    </row>
    <row r="53" spans="4:13">
      <c r="D53" s="8"/>
      <c r="E53" s="8"/>
      <c r="F53" s="8"/>
      <c r="G53" s="8"/>
      <c r="H53" s="8"/>
      <c r="I53" s="8"/>
      <c r="J53" s="8"/>
      <c r="K53" s="8"/>
      <c r="L53" s="8"/>
      <c r="M53" s="8"/>
    </row>
    <row r="54" spans="4:13">
      <c r="D54" s="8"/>
      <c r="E54" s="8"/>
      <c r="F54" s="8"/>
      <c r="G54" s="8"/>
      <c r="H54" s="8"/>
      <c r="I54" s="8"/>
      <c r="J54" s="8"/>
      <c r="K54" s="8"/>
      <c r="L54" s="8"/>
      <c r="M54" s="8"/>
    </row>
    <row r="55" spans="4:13">
      <c r="D55" s="8"/>
      <c r="E55" s="8"/>
      <c r="F55" s="8"/>
      <c r="G55" s="8"/>
      <c r="H55" s="8"/>
      <c r="I55" s="8"/>
      <c r="J55" s="8"/>
      <c r="K55" s="8"/>
      <c r="L55" s="8"/>
      <c r="M55" s="8"/>
    </row>
    <row r="56" spans="4:13">
      <c r="D56" s="8"/>
      <c r="E56" s="8"/>
      <c r="F56" s="8"/>
      <c r="G56" s="8"/>
      <c r="H56" s="8"/>
      <c r="I56" s="8"/>
      <c r="J56" s="8"/>
      <c r="K56" s="8"/>
      <c r="L56" s="8"/>
      <c r="M56" s="8"/>
    </row>
    <row r="57" spans="4:13">
      <c r="D57" s="8"/>
      <c r="E57" s="8"/>
      <c r="F57" s="8"/>
      <c r="G57" s="8"/>
      <c r="H57" s="8"/>
      <c r="I57" s="8"/>
      <c r="J57" s="8"/>
      <c r="K57" s="8"/>
      <c r="L57" s="8"/>
      <c r="M57" s="8"/>
    </row>
    <row r="58" spans="4:13">
      <c r="D58" s="8"/>
      <c r="E58" s="8"/>
      <c r="F58" s="8"/>
      <c r="G58" s="8"/>
      <c r="H58" s="8"/>
      <c r="I58" s="8"/>
      <c r="J58" s="8"/>
      <c r="K58" s="8"/>
      <c r="L58" s="8"/>
      <c r="M58" s="8"/>
    </row>
    <row r="59" spans="4:13">
      <c r="D59" s="8"/>
      <c r="E59" s="8"/>
      <c r="F59" s="8"/>
      <c r="G59" s="8"/>
      <c r="H59" s="8"/>
      <c r="I59" s="8"/>
      <c r="J59" s="8"/>
      <c r="K59" s="8"/>
      <c r="L59" s="8"/>
      <c r="M59" s="8"/>
    </row>
    <row r="60" spans="4:13">
      <c r="D60" s="8"/>
      <c r="E60" s="8"/>
      <c r="F60" s="8"/>
      <c r="G60" s="8"/>
      <c r="H60" s="8"/>
      <c r="I60" s="8"/>
      <c r="J60" s="8"/>
      <c r="K60" s="8"/>
      <c r="L60" s="8"/>
      <c r="M60" s="8"/>
    </row>
  </sheetData>
  <mergeCells count="3">
    <mergeCell ref="D3:M4"/>
    <mergeCell ref="E42:H45"/>
    <mergeCell ref="D5:M40"/>
  </mergeCells>
  <printOptions horizontalCentered="1"/>
  <pageMargins left="0" right="0" top="0.74803149606299213" bottom="0.74803149606299213" header="0.31496062992125984" footer="0.31496062992125984"/>
  <pageSetup paperSize="9"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270CC-C044-4426-93E9-6FE7B276D4D1}">
  <sheetPr codeName="Sheet7">
    <tabColor theme="8" tint="-0.249977111117893"/>
  </sheetPr>
  <dimension ref="D2:O52"/>
  <sheetViews>
    <sheetView rightToLeft="1" topLeftCell="C19" workbookViewId="0">
      <selection activeCell="E7" sqref="E7"/>
    </sheetView>
  </sheetViews>
  <sheetFormatPr defaultRowHeight="15"/>
  <cols>
    <col min="10" max="10" width="13.25" customWidth="1"/>
    <col min="13" max="13" width="3.625" customWidth="1"/>
    <col min="15" max="15" width="11.125" bestFit="1" customWidth="1"/>
  </cols>
  <sheetData>
    <row r="2" spans="4:15">
      <c r="D2" s="45"/>
      <c r="E2" s="46"/>
      <c r="F2" s="46"/>
      <c r="G2" s="46"/>
      <c r="H2" s="46"/>
      <c r="I2" s="46"/>
      <c r="J2" s="46"/>
      <c r="K2" s="46"/>
      <c r="L2" s="46"/>
      <c r="M2" s="46"/>
      <c r="N2" s="46"/>
      <c r="O2" s="41"/>
    </row>
    <row r="3" spans="4:15">
      <c r="D3" s="19"/>
      <c r="E3" s="8"/>
      <c r="F3" s="8"/>
      <c r="G3" s="8"/>
      <c r="H3" s="8"/>
      <c r="I3" s="8"/>
      <c r="J3" s="8"/>
      <c r="K3" s="8"/>
      <c r="L3" s="8"/>
      <c r="M3" s="8"/>
      <c r="N3" s="8"/>
      <c r="O3" s="28"/>
    </row>
    <row r="4" spans="4:15" ht="22.5">
      <c r="D4" s="19"/>
      <c r="E4" s="8"/>
      <c r="F4" s="8"/>
      <c r="G4" s="8"/>
      <c r="H4" s="8"/>
      <c r="I4" s="8"/>
      <c r="J4" s="8"/>
      <c r="K4" s="8"/>
      <c r="L4" s="8"/>
      <c r="M4" s="8"/>
      <c r="N4" s="34" t="s">
        <v>18</v>
      </c>
      <c r="O4" s="35">
        <f>data!M6</f>
        <v>0</v>
      </c>
    </row>
    <row r="5" spans="4:15" ht="14.25" customHeight="1">
      <c r="D5" s="19"/>
      <c r="E5" s="265" t="str">
        <f>"گزارش  استرداد اضافه مالیات "&amp;data!D11&amp;" سال "&amp;data!D9&amp;" مودی "&amp;data!D4</f>
        <v xml:space="preserve">گزارش  استرداد اضافه مالیات  سال  مودی </v>
      </c>
      <c r="F5" s="265"/>
      <c r="G5" s="265"/>
      <c r="H5" s="265"/>
      <c r="I5" s="265"/>
      <c r="J5" s="265"/>
      <c r="K5" s="265"/>
      <c r="L5" s="265"/>
      <c r="M5" s="265"/>
      <c r="N5" s="34" t="s">
        <v>45</v>
      </c>
      <c r="O5" s="35">
        <f>data!N6</f>
        <v>0</v>
      </c>
    </row>
    <row r="6" spans="4:15" ht="14.25" customHeight="1">
      <c r="D6" s="19"/>
      <c r="E6" s="265"/>
      <c r="F6" s="265"/>
      <c r="G6" s="265"/>
      <c r="H6" s="265"/>
      <c r="I6" s="265"/>
      <c r="J6" s="265"/>
      <c r="K6" s="265"/>
      <c r="L6" s="265"/>
      <c r="M6" s="265"/>
      <c r="N6" s="8"/>
      <c r="O6" s="28"/>
    </row>
    <row r="7" spans="4:15">
      <c r="D7" s="47"/>
      <c r="E7" s="44"/>
      <c r="F7" s="44"/>
      <c r="G7" s="44"/>
      <c r="H7" s="44"/>
      <c r="I7" s="44"/>
      <c r="J7" s="44"/>
      <c r="K7" s="44"/>
      <c r="L7" s="44"/>
      <c r="M7" s="44"/>
      <c r="N7" s="44"/>
      <c r="O7" s="31"/>
    </row>
    <row r="8" spans="4:15" ht="22.5">
      <c r="D8" s="266" t="s">
        <v>3</v>
      </c>
      <c r="E8" s="266"/>
      <c r="F8" s="266"/>
      <c r="G8" s="267">
        <f>data!D4</f>
        <v>0</v>
      </c>
      <c r="H8" s="267"/>
      <c r="I8" s="267"/>
      <c r="J8" s="39"/>
      <c r="K8" s="39"/>
      <c r="L8" s="40"/>
      <c r="M8" s="40"/>
      <c r="N8" s="40"/>
      <c r="O8" s="41"/>
    </row>
    <row r="9" spans="4:15" ht="22.5">
      <c r="D9" s="266" t="s">
        <v>0</v>
      </c>
      <c r="E9" s="266"/>
      <c r="F9" s="266"/>
      <c r="G9" s="268">
        <f>data!D5</f>
        <v>0</v>
      </c>
      <c r="H9" s="267"/>
      <c r="I9" s="267"/>
      <c r="J9" s="42"/>
      <c r="K9" s="42"/>
      <c r="L9" s="43"/>
      <c r="M9" s="43"/>
      <c r="N9" s="43"/>
      <c r="O9" s="28"/>
    </row>
    <row r="10" spans="4:15" ht="22.5">
      <c r="D10" s="266" t="s">
        <v>63</v>
      </c>
      <c r="E10" s="266"/>
      <c r="F10" s="266"/>
      <c r="G10" s="269">
        <f>data!D9</f>
        <v>0</v>
      </c>
      <c r="H10" s="269"/>
      <c r="I10" s="269"/>
      <c r="J10" s="42"/>
      <c r="K10" s="42"/>
      <c r="L10" s="43"/>
      <c r="M10" s="43"/>
      <c r="N10" s="43"/>
      <c r="O10" s="28"/>
    </row>
    <row r="11" spans="4:15" ht="22.5">
      <c r="D11" s="266" t="s">
        <v>64</v>
      </c>
      <c r="E11" s="266"/>
      <c r="F11" s="266"/>
      <c r="G11" s="270">
        <f>data!D17</f>
        <v>0</v>
      </c>
      <c r="H11" s="270"/>
      <c r="I11" s="270"/>
      <c r="J11" s="270"/>
      <c r="K11" s="270"/>
      <c r="L11" s="44"/>
      <c r="M11" s="44"/>
      <c r="N11" s="44"/>
      <c r="O11" s="31"/>
    </row>
    <row r="12" spans="4:15" ht="14.25" customHeight="1">
      <c r="D12" s="235"/>
      <c r="E12" s="236"/>
      <c r="F12" s="236"/>
      <c r="G12" s="236"/>
      <c r="H12" s="236"/>
      <c r="I12" s="236"/>
      <c r="J12" s="236"/>
      <c r="K12" s="236"/>
      <c r="L12" s="236"/>
      <c r="M12" s="236"/>
      <c r="N12" s="236"/>
      <c r="O12" s="237"/>
    </row>
    <row r="13" spans="4:15">
      <c r="D13" s="238" t="str">
        <f>" 1- مودی به موجب نامه وارد به شماره "&amp;data!M11&amp; " مورخ "&amp;data!N11&amp; "که در دبیرخانه اداره امور مالیاتی "&amp;data!D6&amp;" ثبت گردیده است، درخواست استرداد اضافه پرداختی را نموده است."</f>
        <v xml:space="preserve"> 1- مودی به موجب نامه وارد به شماره  مورخ که در دبیرخانه اداره امور مالیاتی 160300 ثبت گردیده است، درخواست استرداد اضافه پرداختی را نموده است.</v>
      </c>
      <c r="E13" s="239"/>
      <c r="F13" s="239"/>
      <c r="G13" s="239"/>
      <c r="H13" s="239"/>
      <c r="I13" s="239"/>
      <c r="J13" s="239"/>
      <c r="K13" s="239"/>
      <c r="L13" s="239"/>
      <c r="M13" s="239"/>
      <c r="N13" s="239"/>
      <c r="O13" s="240"/>
    </row>
    <row r="14" spans="4:15">
      <c r="D14" s="241"/>
      <c r="E14" s="242"/>
      <c r="F14" s="242"/>
      <c r="G14" s="242"/>
      <c r="H14" s="242"/>
      <c r="I14" s="242"/>
      <c r="J14" s="242"/>
      <c r="K14" s="242"/>
      <c r="L14" s="242"/>
      <c r="M14" s="242"/>
      <c r="N14" s="242"/>
      <c r="O14" s="243"/>
    </row>
    <row r="15" spans="4:15">
      <c r="D15" s="244"/>
      <c r="E15" s="245"/>
      <c r="F15" s="245"/>
      <c r="G15" s="245"/>
      <c r="H15" s="245"/>
      <c r="I15" s="245"/>
      <c r="J15" s="245"/>
      <c r="K15" s="245"/>
      <c r="L15" s="245"/>
      <c r="M15" s="245"/>
      <c r="N15" s="245"/>
      <c r="O15" s="246"/>
    </row>
    <row r="16" spans="4:15">
      <c r="D16" s="262"/>
      <c r="E16" s="263"/>
      <c r="F16" s="263"/>
      <c r="G16" s="263"/>
      <c r="H16" s="263"/>
      <c r="I16" s="263"/>
      <c r="J16" s="263"/>
      <c r="K16" s="263"/>
      <c r="L16" s="263"/>
      <c r="M16" s="263"/>
      <c r="N16" s="263"/>
      <c r="O16" s="264"/>
    </row>
    <row r="17" spans="4:15" ht="14.25" customHeight="1">
      <c r="D17" s="238" t="str">
        <f xml:space="preserve"> IF(data!E34="بله"," 2- مودی اظهارنامه خود را با شماره "&amp;data!E36&amp;" مورخ "&amp;data!E38&amp;" تسلیم نموده است"," مودی هیچگونه اظهارنامه ای تسلیم ننموده است")</f>
        <v xml:space="preserve"> مودی هیچگونه اظهارنامه ای تسلیم ننموده است</v>
      </c>
      <c r="E17" s="239"/>
      <c r="F17" s="239"/>
      <c r="G17" s="239"/>
      <c r="H17" s="239"/>
      <c r="I17" s="239"/>
      <c r="J17" s="239"/>
      <c r="K17" s="239"/>
      <c r="L17" s="239"/>
      <c r="M17" s="239"/>
      <c r="N17" s="239"/>
      <c r="O17" s="240"/>
    </row>
    <row r="18" spans="4:15" ht="14.25" customHeight="1">
      <c r="D18" s="244"/>
      <c r="E18" s="245"/>
      <c r="F18" s="245"/>
      <c r="G18" s="245"/>
      <c r="H18" s="245"/>
      <c r="I18" s="245"/>
      <c r="J18" s="245"/>
      <c r="K18" s="245"/>
      <c r="L18" s="245"/>
      <c r="M18" s="245"/>
      <c r="N18" s="245"/>
      <c r="O18" s="246"/>
    </row>
    <row r="19" spans="4:15" ht="14.25" customHeight="1">
      <c r="D19" s="256"/>
      <c r="E19" s="257"/>
      <c r="F19" s="257"/>
      <c r="G19" s="257"/>
      <c r="H19" s="257"/>
      <c r="I19" s="257"/>
      <c r="J19" s="257"/>
      <c r="K19" s="257"/>
      <c r="L19" s="257"/>
      <c r="M19" s="257"/>
      <c r="N19" s="257"/>
      <c r="O19" s="258"/>
    </row>
    <row r="20" spans="4:15" ht="14.25" customHeight="1">
      <c r="D20" s="238" t="str">
        <f ca="1">" 3- پس از رسیدگی به عمل آمده و به موجب  "&amp;IF(TODAY()&gt;=data!AJ1,"*فایل منقضی شد*",data!E40)&amp;" به شرح زیر قطعی شده است:"</f>
        <v xml:space="preserve"> 3- پس از رسیدگی به عمل آمده و به موجب   به شرح زیر قطعی شده است:</v>
      </c>
      <c r="E20" s="239"/>
      <c r="F20" s="239"/>
      <c r="G20" s="239"/>
      <c r="H20" s="239"/>
      <c r="I20" s="239"/>
      <c r="J20" s="239"/>
      <c r="K20" s="239"/>
      <c r="L20" s="239"/>
      <c r="M20" s="239"/>
      <c r="N20" s="239"/>
      <c r="O20" s="240"/>
    </row>
    <row r="21" spans="4:15" ht="14.25" customHeight="1">
      <c r="D21" s="241"/>
      <c r="E21" s="242"/>
      <c r="F21" s="242"/>
      <c r="G21" s="242"/>
      <c r="H21" s="242"/>
      <c r="I21" s="242"/>
      <c r="J21" s="242"/>
      <c r="K21" s="242"/>
      <c r="L21" s="242"/>
      <c r="M21" s="242"/>
      <c r="N21" s="242"/>
      <c r="O21" s="243"/>
    </row>
    <row r="22" spans="4:15" ht="14.25" customHeight="1">
      <c r="D22" s="244"/>
      <c r="E22" s="245"/>
      <c r="F22" s="245"/>
      <c r="G22" s="245"/>
      <c r="H22" s="245"/>
      <c r="I22" s="245"/>
      <c r="J22" s="245"/>
      <c r="K22" s="245"/>
      <c r="L22" s="245"/>
      <c r="M22" s="245"/>
      <c r="N22" s="245"/>
      <c r="O22" s="246"/>
    </row>
    <row r="23" spans="4:15" ht="14.25" customHeight="1">
      <c r="D23" s="259"/>
      <c r="E23" s="260"/>
      <c r="F23" s="260"/>
      <c r="G23" s="260"/>
      <c r="H23" s="260"/>
      <c r="I23" s="260"/>
      <c r="J23" s="260"/>
      <c r="K23" s="260"/>
      <c r="L23" s="260"/>
      <c r="M23" s="260"/>
      <c r="N23" s="260"/>
      <c r="O23" s="261"/>
    </row>
    <row r="24" spans="4:15" ht="14.25" customHeight="1">
      <c r="D24" s="247" t="str">
        <f ca="1">"4- شماره برگ قطعی مالیاتی "&amp;data!E42&amp;" مورخ "&amp;data!E44&amp;" می باشد"&amp;CHAR(10)&amp;CHAR(10)&amp;" درامد تشخیصی قطعی قبل از کسر مالیات مبلغ                        "&amp;IF(TODAY()&gt;=data!AJ1,"*فایل منقضی شد*",TEXT(data!E46,"#,##0"))&amp;"    ریال"&amp;CHAR(10)&amp;"   کسر می گردد:  معافیت ها و بخشودگی                                     "&amp;TEXT(data!E48,"#,##0")&amp;CHAR(10)&amp;"                                                                           -------------------"&amp;CHAR(10)&amp;" مانده مشمول مالیات                                                        "&amp;TEXT(data!E50,"#,##0")&amp;CHAR(10)&amp;" مالیات قطعی                                                                  "&amp;IF(TODAY()&gt;=data!AJ1,"*فایل منقضی شد*",TEXT(data!E52,"#,##0"))&amp;CHAR(10)&amp;" اضافه می گردد: جرایم غیرقابل بخشش                                     "&amp;TEXT(data!E54,"#,##0")&amp;CHAR(10)&amp;"                                                                           -------------------"&amp;CHAR(10)&amp;" جمع                                                                          "&amp;TEXT(data!E56,"#,##0")&amp;CHAR(10)&amp;" کسر می گردد:"&amp;CHAR(10)&amp;" جایزه خوش حسابی                                                          "&amp;TEXT(data!E58,"#,##0")&amp;CHAR(10)&amp;" به شرح جدول الف                                                           "&amp;TEXT(data!E60,"#,##0")&amp;CHAR(10)&amp;"                                                                           -------------------"&amp;CHAR(10)&amp;" مازاد پرداختی                                                                "&amp;TEXT(data!E62,"#,##0")</f>
        <v>4- شماره برگ قطعی مالیاتی  مورخ  می باشد
 درامد تشخیصی قطعی قبل از کسر مالیات مبلغ                        0    ریال
   کسر می گردد:  معافیت ها و بخشودگی                                     0
                                                                           -------------------
 مانده مشمول مالیات                                                        0
 مالیات قطعی                                                                  0
 اضافه می گردد: جرایم غیرقابل بخشش                                     0
                                                                           -------------------
 جمع                                                                          0
 کسر می گردد:
 جایزه خوش حسابی                                                          0
 به شرح جدول الف                                                           0
                                                                           -------------------
 مازاد پرداختی                                                                0</v>
      </c>
      <c r="E24" s="248"/>
      <c r="F24" s="248"/>
      <c r="G24" s="248"/>
      <c r="H24" s="248"/>
      <c r="I24" s="248"/>
      <c r="J24" s="248"/>
      <c r="K24" s="248"/>
      <c r="L24" s="248"/>
      <c r="M24" s="248"/>
      <c r="N24" s="248"/>
      <c r="O24" s="249"/>
    </row>
    <row r="25" spans="4:15" ht="14.25" customHeight="1">
      <c r="D25" s="250"/>
      <c r="E25" s="251"/>
      <c r="F25" s="251"/>
      <c r="G25" s="251"/>
      <c r="H25" s="251"/>
      <c r="I25" s="251"/>
      <c r="J25" s="251"/>
      <c r="K25" s="251"/>
      <c r="L25" s="251"/>
      <c r="M25" s="251"/>
      <c r="N25" s="251"/>
      <c r="O25" s="252"/>
    </row>
    <row r="26" spans="4:15" ht="14.25" customHeight="1">
      <c r="D26" s="250"/>
      <c r="E26" s="251"/>
      <c r="F26" s="251"/>
      <c r="G26" s="251"/>
      <c r="H26" s="251"/>
      <c r="I26" s="251"/>
      <c r="J26" s="251"/>
      <c r="K26" s="251"/>
      <c r="L26" s="251"/>
      <c r="M26" s="251"/>
      <c r="N26" s="251"/>
      <c r="O26" s="252"/>
    </row>
    <row r="27" spans="4:15" ht="14.25" customHeight="1">
      <c r="D27" s="250"/>
      <c r="E27" s="251"/>
      <c r="F27" s="251"/>
      <c r="G27" s="251"/>
      <c r="H27" s="251"/>
      <c r="I27" s="251"/>
      <c r="J27" s="251"/>
      <c r="K27" s="251"/>
      <c r="L27" s="251"/>
      <c r="M27" s="251"/>
      <c r="N27" s="251"/>
      <c r="O27" s="252"/>
    </row>
    <row r="28" spans="4:15" ht="14.25" customHeight="1">
      <c r="D28" s="250"/>
      <c r="E28" s="251"/>
      <c r="F28" s="251"/>
      <c r="G28" s="251"/>
      <c r="H28" s="251"/>
      <c r="I28" s="251"/>
      <c r="J28" s="251"/>
      <c r="K28" s="251"/>
      <c r="L28" s="251"/>
      <c r="M28" s="251"/>
      <c r="N28" s="251"/>
      <c r="O28" s="252"/>
    </row>
    <row r="29" spans="4:15" ht="14.25" customHeight="1">
      <c r="D29" s="250"/>
      <c r="E29" s="251"/>
      <c r="F29" s="251"/>
      <c r="G29" s="251"/>
      <c r="H29" s="251"/>
      <c r="I29" s="251"/>
      <c r="J29" s="251"/>
      <c r="K29" s="251"/>
      <c r="L29" s="251"/>
      <c r="M29" s="251"/>
      <c r="N29" s="251"/>
      <c r="O29" s="252"/>
    </row>
    <row r="30" spans="4:15" ht="14.25" customHeight="1">
      <c r="D30" s="250"/>
      <c r="E30" s="251"/>
      <c r="F30" s="251"/>
      <c r="G30" s="251"/>
      <c r="H30" s="251"/>
      <c r="I30" s="251"/>
      <c r="J30" s="251"/>
      <c r="K30" s="251"/>
      <c r="L30" s="251"/>
      <c r="M30" s="251"/>
      <c r="N30" s="251"/>
      <c r="O30" s="252"/>
    </row>
    <row r="31" spans="4:15" ht="14.25" customHeight="1">
      <c r="D31" s="250"/>
      <c r="E31" s="251"/>
      <c r="F31" s="251"/>
      <c r="G31" s="251"/>
      <c r="H31" s="251"/>
      <c r="I31" s="251"/>
      <c r="J31" s="251"/>
      <c r="K31" s="251"/>
      <c r="L31" s="251"/>
      <c r="M31" s="251"/>
      <c r="N31" s="251"/>
      <c r="O31" s="252"/>
    </row>
    <row r="32" spans="4:15" ht="14.25" customHeight="1">
      <c r="D32" s="250"/>
      <c r="E32" s="251"/>
      <c r="F32" s="251"/>
      <c r="G32" s="251"/>
      <c r="H32" s="251"/>
      <c r="I32" s="251"/>
      <c r="J32" s="251"/>
      <c r="K32" s="251"/>
      <c r="L32" s="251"/>
      <c r="M32" s="251"/>
      <c r="N32" s="251"/>
      <c r="O32" s="252"/>
    </row>
    <row r="33" spans="4:15" ht="14.25" customHeight="1">
      <c r="D33" s="250"/>
      <c r="E33" s="251"/>
      <c r="F33" s="251"/>
      <c r="G33" s="251"/>
      <c r="H33" s="251"/>
      <c r="I33" s="251"/>
      <c r="J33" s="251"/>
      <c r="K33" s="251"/>
      <c r="L33" s="251"/>
      <c r="M33" s="251"/>
      <c r="N33" s="251"/>
      <c r="O33" s="252"/>
    </row>
    <row r="34" spans="4:15" ht="14.25" customHeight="1">
      <c r="D34" s="250"/>
      <c r="E34" s="251"/>
      <c r="F34" s="251"/>
      <c r="G34" s="251"/>
      <c r="H34" s="251"/>
      <c r="I34" s="251"/>
      <c r="J34" s="251"/>
      <c r="K34" s="251"/>
      <c r="L34" s="251"/>
      <c r="M34" s="251"/>
      <c r="N34" s="251"/>
      <c r="O34" s="252"/>
    </row>
    <row r="35" spans="4:15" ht="14.25" customHeight="1">
      <c r="D35" s="250"/>
      <c r="E35" s="251"/>
      <c r="F35" s="251"/>
      <c r="G35" s="251"/>
      <c r="H35" s="251"/>
      <c r="I35" s="251"/>
      <c r="J35" s="251"/>
      <c r="K35" s="251"/>
      <c r="L35" s="251"/>
      <c r="M35" s="251"/>
      <c r="N35" s="251"/>
      <c r="O35" s="252"/>
    </row>
    <row r="36" spans="4:15" ht="14.25" customHeight="1">
      <c r="D36" s="250"/>
      <c r="E36" s="251"/>
      <c r="F36" s="251"/>
      <c r="G36" s="251"/>
      <c r="H36" s="251"/>
      <c r="I36" s="251"/>
      <c r="J36" s="251"/>
      <c r="K36" s="251"/>
      <c r="L36" s="251"/>
      <c r="M36" s="251"/>
      <c r="N36" s="251"/>
      <c r="O36" s="252"/>
    </row>
    <row r="37" spans="4:15" ht="14.25" customHeight="1">
      <c r="D37" s="250"/>
      <c r="E37" s="251"/>
      <c r="F37" s="251"/>
      <c r="G37" s="251"/>
      <c r="H37" s="251"/>
      <c r="I37" s="251"/>
      <c r="J37" s="251"/>
      <c r="K37" s="251"/>
      <c r="L37" s="251"/>
      <c r="M37" s="251"/>
      <c r="N37" s="251"/>
      <c r="O37" s="252"/>
    </row>
    <row r="38" spans="4:15" ht="14.25" customHeight="1">
      <c r="D38" s="250"/>
      <c r="E38" s="251"/>
      <c r="F38" s="251"/>
      <c r="G38" s="251"/>
      <c r="H38" s="251"/>
      <c r="I38" s="251"/>
      <c r="J38" s="251"/>
      <c r="K38" s="251"/>
      <c r="L38" s="251"/>
      <c r="M38" s="251"/>
      <c r="N38" s="251"/>
      <c r="O38" s="252"/>
    </row>
    <row r="39" spans="4:15" ht="14.25" customHeight="1">
      <c r="D39" s="250"/>
      <c r="E39" s="251"/>
      <c r="F39" s="251"/>
      <c r="G39" s="251"/>
      <c r="H39" s="251"/>
      <c r="I39" s="251"/>
      <c r="J39" s="251"/>
      <c r="K39" s="251"/>
      <c r="L39" s="251"/>
      <c r="M39" s="251"/>
      <c r="N39" s="251"/>
      <c r="O39" s="252"/>
    </row>
    <row r="40" spans="4:15" ht="14.25" customHeight="1">
      <c r="D40" s="250"/>
      <c r="E40" s="251"/>
      <c r="F40" s="251"/>
      <c r="G40" s="251"/>
      <c r="H40" s="251"/>
      <c r="I40" s="251"/>
      <c r="J40" s="251"/>
      <c r="K40" s="251"/>
      <c r="L40" s="251"/>
      <c r="M40" s="251"/>
      <c r="N40" s="251"/>
      <c r="O40" s="252"/>
    </row>
    <row r="41" spans="4:15" ht="14.25" customHeight="1">
      <c r="D41" s="250"/>
      <c r="E41" s="251"/>
      <c r="F41" s="251"/>
      <c r="G41" s="251"/>
      <c r="H41" s="251"/>
      <c r="I41" s="251"/>
      <c r="J41" s="251"/>
      <c r="K41" s="251"/>
      <c r="L41" s="251"/>
      <c r="M41" s="251"/>
      <c r="N41" s="251"/>
      <c r="O41" s="252"/>
    </row>
    <row r="42" spans="4:15" ht="14.25" customHeight="1">
      <c r="D42" s="250"/>
      <c r="E42" s="251"/>
      <c r="F42" s="251"/>
      <c r="G42" s="251"/>
      <c r="H42" s="251"/>
      <c r="I42" s="251"/>
      <c r="J42" s="251"/>
      <c r="K42" s="251"/>
      <c r="L42" s="251"/>
      <c r="M42" s="251"/>
      <c r="N42" s="251"/>
      <c r="O42" s="252"/>
    </row>
    <row r="43" spans="4:15" ht="14.25" customHeight="1">
      <c r="D43" s="250"/>
      <c r="E43" s="251"/>
      <c r="F43" s="251"/>
      <c r="G43" s="251"/>
      <c r="H43" s="251"/>
      <c r="I43" s="251"/>
      <c r="J43" s="251"/>
      <c r="K43" s="251"/>
      <c r="L43" s="251"/>
      <c r="M43" s="251"/>
      <c r="N43" s="251"/>
      <c r="O43" s="252"/>
    </row>
    <row r="44" spans="4:15" ht="22.5" customHeight="1">
      <c r="D44" s="250"/>
      <c r="E44" s="251"/>
      <c r="F44" s="251"/>
      <c r="G44" s="251"/>
      <c r="H44" s="251"/>
      <c r="I44" s="251"/>
      <c r="J44" s="251"/>
      <c r="K44" s="251"/>
      <c r="L44" s="251"/>
      <c r="M44" s="251"/>
      <c r="N44" s="251"/>
      <c r="O44" s="252"/>
    </row>
    <row r="45" spans="4:15" ht="22.5" customHeight="1">
      <c r="D45" s="250"/>
      <c r="E45" s="251"/>
      <c r="F45" s="251"/>
      <c r="G45" s="251"/>
      <c r="H45" s="251"/>
      <c r="I45" s="251"/>
      <c r="J45" s="251"/>
      <c r="K45" s="251"/>
      <c r="L45" s="251"/>
      <c r="M45" s="251"/>
      <c r="N45" s="251"/>
      <c r="O45" s="252"/>
    </row>
    <row r="46" spans="4:15" ht="22.5" customHeight="1">
      <c r="D46" s="250"/>
      <c r="E46" s="251"/>
      <c r="F46" s="251"/>
      <c r="G46" s="251"/>
      <c r="H46" s="251"/>
      <c r="I46" s="251"/>
      <c r="J46" s="251"/>
      <c r="K46" s="251"/>
      <c r="L46" s="251"/>
      <c r="M46" s="251"/>
      <c r="N46" s="251"/>
      <c r="O46" s="252"/>
    </row>
    <row r="47" spans="4:15">
      <c r="D47" s="253"/>
      <c r="E47" s="254"/>
      <c r="F47" s="254"/>
      <c r="G47" s="254"/>
      <c r="H47" s="254"/>
      <c r="I47" s="254"/>
      <c r="J47" s="254"/>
      <c r="K47" s="254"/>
      <c r="L47" s="254"/>
      <c r="M47" s="254"/>
      <c r="N47" s="254"/>
      <c r="O47" s="255"/>
    </row>
    <row r="48" spans="4:15" ht="22.5">
      <c r="D48" s="36"/>
      <c r="E48" s="36"/>
      <c r="F48" s="36"/>
      <c r="G48" s="36"/>
      <c r="H48" s="36"/>
      <c r="I48" s="36"/>
      <c r="J48" s="36"/>
      <c r="K48" s="36"/>
      <c r="L48" s="36"/>
      <c r="M48" s="36"/>
      <c r="N48" s="36"/>
      <c r="O48" s="36"/>
    </row>
    <row r="49" spans="5:8">
      <c r="E49" s="186" t="str">
        <f>" کارشناس ارشد مالیاتی شهرستان "&amp;data!D8&amp;CHAR(10)&amp;data!D14</f>
        <v xml:space="preserve"> کارشناس ارشد مالیاتی شهرستان اهواز
مهدی دلفی</v>
      </c>
      <c r="F49" s="186"/>
      <c r="G49" s="186"/>
      <c r="H49" s="186"/>
    </row>
    <row r="50" spans="5:8">
      <c r="E50" s="186"/>
      <c r="F50" s="186"/>
      <c r="G50" s="186"/>
      <c r="H50" s="186"/>
    </row>
    <row r="51" spans="5:8">
      <c r="E51" s="186"/>
      <c r="F51" s="186"/>
      <c r="G51" s="186"/>
      <c r="H51" s="186"/>
    </row>
    <row r="52" spans="5:8">
      <c r="E52" s="186"/>
      <c r="F52" s="186"/>
      <c r="G52" s="186"/>
      <c r="H52" s="186"/>
    </row>
  </sheetData>
  <mergeCells count="18">
    <mergeCell ref="E5:M6"/>
    <mergeCell ref="D8:F8"/>
    <mergeCell ref="D9:F9"/>
    <mergeCell ref="D10:F10"/>
    <mergeCell ref="D11:F11"/>
    <mergeCell ref="G8:I8"/>
    <mergeCell ref="G9:I9"/>
    <mergeCell ref="G10:I10"/>
    <mergeCell ref="G11:K11"/>
    <mergeCell ref="D12:O12"/>
    <mergeCell ref="E49:H52"/>
    <mergeCell ref="D13:O15"/>
    <mergeCell ref="D17:O18"/>
    <mergeCell ref="D24:O47"/>
    <mergeCell ref="D20:O22"/>
    <mergeCell ref="D19:O19"/>
    <mergeCell ref="D23:O23"/>
    <mergeCell ref="D16:O16"/>
  </mergeCells>
  <printOptions horizontalCentered="1" verticalCentered="1"/>
  <pageMargins left="0" right="0" top="0.74803149606299213" bottom="0.74803149606299213" header="0.31496062992125984" footer="0.31496062992125984"/>
  <pageSetup paperSize="9"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E2C6B-15EC-4E3B-8DF3-3CF46B0BFEAF}">
  <sheetPr codeName="Sheet8">
    <tabColor theme="7" tint="-0.249977111117893"/>
  </sheetPr>
  <dimension ref="E2:O58"/>
  <sheetViews>
    <sheetView rightToLeft="1" workbookViewId="0">
      <selection activeCell="E4" sqref="E4"/>
    </sheetView>
  </sheetViews>
  <sheetFormatPr defaultRowHeight="15"/>
  <cols>
    <col min="15" max="15" width="11.125" bestFit="1" customWidth="1"/>
  </cols>
  <sheetData>
    <row r="2" spans="5:15" ht="14.25" customHeight="1">
      <c r="E2" s="286" t="str">
        <f>" ادامه گزارش استرداد اضافه مالیات "&amp;data!D11&amp;" سال "&amp;data!D9&amp;" مودی "&amp;data!D4</f>
        <v xml:space="preserve"> ادامه گزارش استرداد اضافه مالیات  سال  مودی </v>
      </c>
      <c r="F2" s="287"/>
      <c r="G2" s="287"/>
      <c r="H2" s="287"/>
      <c r="I2" s="287"/>
      <c r="J2" s="287"/>
      <c r="K2" s="287"/>
      <c r="L2" s="287"/>
      <c r="M2" s="288"/>
      <c r="N2" s="32" t="s">
        <v>18</v>
      </c>
      <c r="O2" s="32">
        <f>data!M6</f>
        <v>0</v>
      </c>
    </row>
    <row r="3" spans="5:15" ht="14.25" customHeight="1">
      <c r="E3" s="289"/>
      <c r="F3" s="290"/>
      <c r="G3" s="290"/>
      <c r="H3" s="290"/>
      <c r="I3" s="290"/>
      <c r="J3" s="290"/>
      <c r="K3" s="290"/>
      <c r="L3" s="290"/>
      <c r="M3" s="291"/>
      <c r="N3" s="32" t="s">
        <v>45</v>
      </c>
      <c r="O3" s="32">
        <f>data!N6</f>
        <v>0</v>
      </c>
    </row>
    <row r="6" spans="5:15" ht="14.25" customHeight="1">
      <c r="E6" s="294" t="s">
        <v>66</v>
      </c>
      <c r="F6" s="295"/>
      <c r="G6" s="295"/>
      <c r="H6" s="295"/>
      <c r="I6" s="295"/>
      <c r="J6" s="295"/>
      <c r="K6" s="295"/>
      <c r="L6" s="295"/>
      <c r="M6" s="295"/>
      <c r="N6" s="295"/>
      <c r="O6" s="296"/>
    </row>
    <row r="7" spans="5:15" ht="14.25" customHeight="1">
      <c r="E7" s="297"/>
      <c r="F7" s="298"/>
      <c r="G7" s="298"/>
      <c r="H7" s="298"/>
      <c r="I7" s="298"/>
      <c r="J7" s="298"/>
      <c r="K7" s="298"/>
      <c r="L7" s="298"/>
      <c r="M7" s="298"/>
      <c r="N7" s="298"/>
      <c r="O7" s="299"/>
    </row>
    <row r="8" spans="5:15">
      <c r="E8" s="19"/>
      <c r="F8" s="8"/>
      <c r="G8" s="8"/>
      <c r="H8" s="8"/>
      <c r="I8" s="8"/>
      <c r="J8" s="8"/>
      <c r="K8" s="8"/>
      <c r="L8" s="8"/>
      <c r="M8" s="8"/>
      <c r="N8" s="8"/>
      <c r="O8" s="28"/>
    </row>
    <row r="9" spans="5:15">
      <c r="E9" s="247" t="str">
        <f>" الف- با توجه به نامه شماره "&amp;data!M9&amp;" مورخ "&amp;data!N9&amp;" اداره وصول و اجرا، مودی "&amp;data!O9&amp;CHAR(10)&amp;" مودی مبلغ "&amp;TEXT(data!P9,"#,##0")&amp;" ریال بابت مالیات و جرایم سنوات "&amp;data!Q9&amp;" دارد"</f>
        <v xml:space="preserve"> الف- با توجه به نامه شماره  مورخ  اداره وصول و اجرا، مودی 
 مودی مبلغ 0 ریال بابت مالیات و جرایم سنوات  دارد</v>
      </c>
      <c r="F9" s="248"/>
      <c r="G9" s="248"/>
      <c r="H9" s="248"/>
      <c r="I9" s="248"/>
      <c r="J9" s="248"/>
      <c r="K9" s="248"/>
      <c r="L9" s="248"/>
      <c r="M9" s="248"/>
      <c r="N9" s="248"/>
      <c r="O9" s="249"/>
    </row>
    <row r="10" spans="5:15">
      <c r="E10" s="250"/>
      <c r="F10" s="251"/>
      <c r="G10" s="251"/>
      <c r="H10" s="251"/>
      <c r="I10" s="251"/>
      <c r="J10" s="251"/>
      <c r="K10" s="251"/>
      <c r="L10" s="251"/>
      <c r="M10" s="251"/>
      <c r="N10" s="251"/>
      <c r="O10" s="252"/>
    </row>
    <row r="11" spans="5:15">
      <c r="E11" s="253"/>
      <c r="F11" s="254"/>
      <c r="G11" s="254"/>
      <c r="H11" s="254"/>
      <c r="I11" s="254"/>
      <c r="J11" s="254"/>
      <c r="K11" s="254"/>
      <c r="L11" s="254"/>
      <c r="M11" s="254"/>
      <c r="N11" s="254"/>
      <c r="O11" s="255"/>
    </row>
    <row r="12" spans="5:15" ht="15.75" customHeight="1">
      <c r="E12" s="50"/>
      <c r="F12" s="48"/>
      <c r="G12" s="48"/>
      <c r="H12" s="48"/>
      <c r="I12" s="48"/>
      <c r="J12" s="48"/>
      <c r="K12" s="48"/>
      <c r="L12" s="48"/>
      <c r="M12" s="48"/>
      <c r="N12" s="48"/>
      <c r="O12" s="49"/>
    </row>
    <row r="13" spans="5:15">
      <c r="E13" s="247" t="str">
        <f>" ب- با توجه به نامه شماره "&amp;data!M10&amp;" مورخ "&amp;data!N10&amp;" واحد مالیات حقوق و تکلیفی، مودی "&amp;data!O10&amp;CHAR(10)&amp;" مودی مبلغ "&amp;TEXT(data!P10,"#,##0")&amp;" ریال بابت مالیات و جرایم سنوات  "&amp;data!Q10&amp;" دارد"</f>
        <v xml:space="preserve"> ب- با توجه به نامه شماره  مورخ  واحد مالیات حقوق و تکلیفی، مودی 
 مودی مبلغ 0 ریال بابت مالیات و جرایم سنوات   دارد</v>
      </c>
      <c r="F13" s="248"/>
      <c r="G13" s="248"/>
      <c r="H13" s="248"/>
      <c r="I13" s="248"/>
      <c r="J13" s="248"/>
      <c r="K13" s="248"/>
      <c r="L13" s="248"/>
      <c r="M13" s="248"/>
      <c r="N13" s="248"/>
      <c r="O13" s="249"/>
    </row>
    <row r="14" spans="5:15">
      <c r="E14" s="250"/>
      <c r="F14" s="251"/>
      <c r="G14" s="251"/>
      <c r="H14" s="251"/>
      <c r="I14" s="251"/>
      <c r="J14" s="251"/>
      <c r="K14" s="251"/>
      <c r="L14" s="251"/>
      <c r="M14" s="251"/>
      <c r="N14" s="251"/>
      <c r="O14" s="252"/>
    </row>
    <row r="15" spans="5:15">
      <c r="E15" s="253"/>
      <c r="F15" s="254"/>
      <c r="G15" s="254"/>
      <c r="H15" s="254"/>
      <c r="I15" s="254"/>
      <c r="J15" s="254"/>
      <c r="K15" s="254"/>
      <c r="L15" s="254"/>
      <c r="M15" s="254"/>
      <c r="N15" s="254"/>
      <c r="O15" s="255"/>
    </row>
    <row r="16" spans="5:15">
      <c r="E16" s="19"/>
      <c r="F16" s="8"/>
      <c r="G16" s="8"/>
      <c r="H16" s="8"/>
      <c r="I16" s="8"/>
      <c r="J16" s="8"/>
      <c r="K16" s="8"/>
      <c r="L16" s="8"/>
      <c r="M16" s="8"/>
      <c r="N16" s="8"/>
      <c r="O16" s="28"/>
    </row>
    <row r="17" spans="5:15" ht="14.25" customHeight="1">
      <c r="E17" s="247" t="str">
        <f>" ج- با توجه به نامه شماره "&amp;data!M10&amp;" مورخ "&amp;data!N10&amp;" واحد مالیات حقوق و تکلیفی، مودی "&amp;data!O10&amp;CHAR(10)&amp;" مودی مبلغ "&amp;TEXT(data!P10,"#,##0")&amp;" ریال بابت مالیات و جرایم سنوات  "&amp;data!Q10&amp;" دارد"</f>
        <v xml:space="preserve"> ج- با توجه به نامه شماره  مورخ  واحد مالیات حقوق و تکلیفی، مودی 
 مودی مبلغ 0 ریال بابت مالیات و جرایم سنوات   دارد</v>
      </c>
      <c r="F17" s="248"/>
      <c r="G17" s="248"/>
      <c r="H17" s="248"/>
      <c r="I17" s="248"/>
      <c r="J17" s="248"/>
      <c r="K17" s="248"/>
      <c r="L17" s="248"/>
      <c r="M17" s="248"/>
      <c r="N17" s="248"/>
      <c r="O17" s="249"/>
    </row>
    <row r="18" spans="5:15">
      <c r="E18" s="250"/>
      <c r="F18" s="251"/>
      <c r="G18" s="251"/>
      <c r="H18" s="251"/>
      <c r="I18" s="251"/>
      <c r="J18" s="251"/>
      <c r="K18" s="251"/>
      <c r="L18" s="251"/>
      <c r="M18" s="251"/>
      <c r="N18" s="251"/>
      <c r="O18" s="252"/>
    </row>
    <row r="19" spans="5:15">
      <c r="E19" s="253"/>
      <c r="F19" s="254"/>
      <c r="G19" s="254"/>
      <c r="H19" s="254"/>
      <c r="I19" s="254"/>
      <c r="J19" s="254"/>
      <c r="K19" s="254"/>
      <c r="L19" s="254"/>
      <c r="M19" s="254"/>
      <c r="N19" s="254"/>
      <c r="O19" s="255"/>
    </row>
    <row r="20" spans="5:15">
      <c r="E20" s="19"/>
      <c r="F20" s="8"/>
      <c r="G20" s="8"/>
      <c r="H20" s="8"/>
      <c r="I20" s="8"/>
      <c r="J20" s="8"/>
      <c r="K20" s="8"/>
      <c r="L20" s="8"/>
      <c r="M20" s="8"/>
      <c r="N20" s="8"/>
      <c r="O20" s="28"/>
    </row>
    <row r="21" spans="5:15" ht="14.25" customHeight="1">
      <c r="E21" s="300" t="str">
        <f ca="1">" پرداخت مانده اضافه پرداختی قابل پرداخت به مودی پس از کسر بدهی های موضوع الف و ب و ج فوق به مبلغ "&amp;IF(TODAY()&gt;=data!AJ1,"*فایل منقضی شد*",TEXT((-data!E62-data!P15),"#,##0"))&amp;" مورد تایید است"&amp;CHAR(10)&amp;" مراتب جهت اظهار نظر رئیس گروه مالیاتی اعلام می گردد"</f>
        <v xml:space="preserve"> پرداخت مانده اضافه پرداختی قابل پرداخت به مودی پس از کسر بدهی های موضوع الف و ب و ج فوق به مبلغ 0 مورد تایید است
 مراتب جهت اظهار نظر رئیس گروه مالیاتی اعلام می گردد</v>
      </c>
      <c r="F21" s="301"/>
      <c r="G21" s="301"/>
      <c r="H21" s="301"/>
      <c r="I21" s="301"/>
      <c r="J21" s="301"/>
      <c r="K21" s="301"/>
      <c r="L21" s="301"/>
      <c r="M21" s="301"/>
      <c r="N21" s="301"/>
      <c r="O21" s="302"/>
    </row>
    <row r="22" spans="5:15" ht="14.25" customHeight="1">
      <c r="E22" s="303"/>
      <c r="F22" s="304"/>
      <c r="G22" s="304"/>
      <c r="H22" s="304"/>
      <c r="I22" s="304"/>
      <c r="J22" s="304"/>
      <c r="K22" s="304"/>
      <c r="L22" s="304"/>
      <c r="M22" s="304"/>
      <c r="N22" s="304"/>
      <c r="O22" s="305"/>
    </row>
    <row r="23" spans="5:15" ht="14.25" customHeight="1">
      <c r="E23" s="303"/>
      <c r="F23" s="304"/>
      <c r="G23" s="304"/>
      <c r="H23" s="304"/>
      <c r="I23" s="304"/>
      <c r="J23" s="304"/>
      <c r="K23" s="304"/>
      <c r="L23" s="304"/>
      <c r="M23" s="304"/>
      <c r="N23" s="304"/>
      <c r="O23" s="305"/>
    </row>
    <row r="24" spans="5:15" ht="22.5" customHeight="1">
      <c r="E24" s="303"/>
      <c r="F24" s="304"/>
      <c r="G24" s="304"/>
      <c r="H24" s="304"/>
      <c r="I24" s="304"/>
      <c r="J24" s="304"/>
      <c r="K24" s="304"/>
      <c r="L24" s="304"/>
      <c r="M24" s="304"/>
      <c r="N24" s="304"/>
      <c r="O24" s="305"/>
    </row>
    <row r="25" spans="5:15" ht="22.5" customHeight="1">
      <c r="E25" s="306"/>
      <c r="F25" s="307"/>
      <c r="G25" s="307"/>
      <c r="H25" s="307"/>
      <c r="I25" s="307"/>
      <c r="J25" s="307"/>
      <c r="K25" s="307"/>
      <c r="L25" s="307"/>
      <c r="M25" s="307"/>
      <c r="N25" s="307"/>
      <c r="O25" s="308"/>
    </row>
    <row r="26" spans="5:15">
      <c r="E26" s="19"/>
      <c r="F26" s="8"/>
      <c r="G26" s="8"/>
      <c r="H26" s="8"/>
      <c r="I26" s="8"/>
      <c r="J26" s="8"/>
      <c r="K26" s="8"/>
      <c r="L26" s="8"/>
      <c r="M26" s="8"/>
      <c r="N26" s="8"/>
      <c r="O26" s="28"/>
    </row>
    <row r="27" spans="5:15" ht="14.25" customHeight="1">
      <c r="E27" s="19"/>
      <c r="F27" s="8"/>
      <c r="G27" s="8"/>
      <c r="H27" s="8"/>
      <c r="I27" s="8"/>
      <c r="J27" s="8"/>
      <c r="K27" s="8"/>
      <c r="L27" s="271" t="str">
        <f>" کارشناس ارشد مالیاتی شهرستان "&amp;data!D8&amp;CHAR(10)&amp;data!D14</f>
        <v xml:space="preserve"> کارشناس ارشد مالیاتی شهرستان اهواز
مهدی دلفی</v>
      </c>
      <c r="M27" s="271"/>
      <c r="N27" s="271"/>
      <c r="O27" s="272"/>
    </row>
    <row r="28" spans="5:15" ht="14.25" customHeight="1">
      <c r="E28" s="19"/>
      <c r="F28" s="8"/>
      <c r="G28" s="8"/>
      <c r="H28" s="8"/>
      <c r="I28" s="8"/>
      <c r="J28" s="8"/>
      <c r="K28" s="8"/>
      <c r="L28" s="271"/>
      <c r="M28" s="271"/>
      <c r="N28" s="271"/>
      <c r="O28" s="272"/>
    </row>
    <row r="29" spans="5:15" ht="14.25" customHeight="1">
      <c r="E29" s="19"/>
      <c r="F29" s="8"/>
      <c r="G29" s="8"/>
      <c r="H29" s="8"/>
      <c r="I29" s="8"/>
      <c r="J29" s="8"/>
      <c r="K29" s="8"/>
      <c r="L29" s="271"/>
      <c r="M29" s="271"/>
      <c r="N29" s="271"/>
      <c r="O29" s="272"/>
    </row>
    <row r="30" spans="5:15">
      <c r="E30" s="19"/>
      <c r="F30" s="8"/>
      <c r="G30" s="8"/>
      <c r="H30" s="8"/>
      <c r="I30" s="8"/>
      <c r="J30" s="8"/>
      <c r="K30" s="8"/>
      <c r="L30" s="271"/>
      <c r="M30" s="271"/>
      <c r="N30" s="271"/>
      <c r="O30" s="272"/>
    </row>
    <row r="31" spans="5:15">
      <c r="E31" s="292" t="str">
        <f>" نظر رئیس گروه مالیاتی شهرستان "&amp;data!D8</f>
        <v xml:space="preserve"> نظر رئیس گروه مالیاتی شهرستان اهواز</v>
      </c>
      <c r="F31" s="293"/>
      <c r="G31" s="293"/>
      <c r="H31" s="293"/>
      <c r="I31" s="8"/>
      <c r="J31" s="8"/>
      <c r="K31" s="8"/>
      <c r="L31" s="8"/>
      <c r="M31" s="8"/>
      <c r="N31" s="8"/>
      <c r="O31" s="28"/>
    </row>
    <row r="32" spans="5:15">
      <c r="E32" s="292"/>
      <c r="F32" s="293"/>
      <c r="G32" s="293"/>
      <c r="H32" s="293"/>
      <c r="I32" s="8"/>
      <c r="J32" s="8"/>
      <c r="K32" s="8"/>
      <c r="L32" s="8"/>
      <c r="M32" s="8"/>
      <c r="N32" s="8"/>
      <c r="O32" s="28"/>
    </row>
    <row r="33" spans="5:15" ht="14.25" customHeight="1">
      <c r="E33" s="273" t="str">
        <f ca="1">" رئیس محترم اداره مالیاتی شهرستان "&amp;data!D8&amp;CHAR(10)&amp;" مضمون گزارش استرداد مالیات مربوط به عملکرد سال "&amp;data!D9&amp;" مودی "&amp;data!D4&amp;" تهیه شده توسط کارشناس ارشد واحد مالیاتی "&amp;data!D6&amp;" با تعیین و تایید مبلغ "&amp;TEXT(-data!E62,"#,##0")&amp;" ریال مالیات اضافه دریافتی قبل از کسر بدهی های مالیاتی دیگر و مبلغ "&amp;TEXT((-data!E62-data!P15),"#,##0")&amp;" ریال مانده اضافه دریافتی بعد از کسر بدهی های مالیاتی دیگر مورد تایید اینجانب است."&amp;CHAR(10)&amp;" جهت استحضار و تایید و صدور دستور لازم مبنی بر تهیه برگ استردا ایفاد می گردد"</f>
        <v xml:space="preserve"> رئیس محترم اداره مالیاتی شهرستان اهواز
 مضمون گزارش استرداد مالیات مربوط به عملکرد سال  مودی  تهیه شده توسط کارشناس ارشد واحد مالیاتی 160300 با تعیین و تایید مبلغ 0 ریال مالیات اضافه دریافتی قبل از کسر بدهی های مالیاتی دیگر و مبلغ 0 ریال مانده اضافه دریافتی بعد از کسر بدهی های مالیاتی دیگر مورد تایید اینجانب است.
 جهت استحضار و تایید و صدور دستور لازم مبنی بر تهیه برگ استردا ایفاد می گردد</v>
      </c>
      <c r="F33" s="274"/>
      <c r="G33" s="274"/>
      <c r="H33" s="274"/>
      <c r="I33" s="274"/>
      <c r="J33" s="274"/>
      <c r="K33" s="274"/>
      <c r="L33" s="274"/>
      <c r="M33" s="274"/>
      <c r="N33" s="274"/>
      <c r="O33" s="275"/>
    </row>
    <row r="34" spans="5:15" ht="14.25" customHeight="1">
      <c r="E34" s="276"/>
      <c r="F34" s="277"/>
      <c r="G34" s="277"/>
      <c r="H34" s="277"/>
      <c r="I34" s="277"/>
      <c r="J34" s="277"/>
      <c r="K34" s="277"/>
      <c r="L34" s="277"/>
      <c r="M34" s="277"/>
      <c r="N34" s="277"/>
      <c r="O34" s="278"/>
    </row>
    <row r="35" spans="5:15" ht="14.25" customHeight="1">
      <c r="E35" s="276"/>
      <c r="F35" s="277"/>
      <c r="G35" s="277"/>
      <c r="H35" s="277"/>
      <c r="I35" s="277"/>
      <c r="J35" s="277"/>
      <c r="K35" s="277"/>
      <c r="L35" s="277"/>
      <c r="M35" s="277"/>
      <c r="N35" s="277"/>
      <c r="O35" s="278"/>
    </row>
    <row r="36" spans="5:15" ht="14.25" customHeight="1">
      <c r="E36" s="276"/>
      <c r="F36" s="277"/>
      <c r="G36" s="277"/>
      <c r="H36" s="277"/>
      <c r="I36" s="277"/>
      <c r="J36" s="277"/>
      <c r="K36" s="277"/>
      <c r="L36" s="277"/>
      <c r="M36" s="277"/>
      <c r="N36" s="277"/>
      <c r="O36" s="278"/>
    </row>
    <row r="37" spans="5:15" ht="14.25" customHeight="1">
      <c r="E37" s="276"/>
      <c r="F37" s="277"/>
      <c r="G37" s="277"/>
      <c r="H37" s="277"/>
      <c r="I37" s="277"/>
      <c r="J37" s="277"/>
      <c r="K37" s="277"/>
      <c r="L37" s="277"/>
      <c r="M37" s="277"/>
      <c r="N37" s="277"/>
      <c r="O37" s="278"/>
    </row>
    <row r="38" spans="5:15" ht="14.25" customHeight="1">
      <c r="E38" s="276"/>
      <c r="F38" s="277"/>
      <c r="G38" s="277"/>
      <c r="H38" s="277"/>
      <c r="I38" s="277"/>
      <c r="J38" s="277"/>
      <c r="K38" s="277"/>
      <c r="L38" s="277"/>
      <c r="M38" s="277"/>
      <c r="N38" s="277"/>
      <c r="O38" s="278"/>
    </row>
    <row r="39" spans="5:15">
      <c r="E39" s="276"/>
      <c r="F39" s="277"/>
      <c r="G39" s="277"/>
      <c r="H39" s="277"/>
      <c r="I39" s="277"/>
      <c r="J39" s="277"/>
      <c r="K39" s="277"/>
      <c r="L39" s="277"/>
      <c r="M39" s="277"/>
      <c r="N39" s="277"/>
      <c r="O39" s="278"/>
    </row>
    <row r="40" spans="5:15">
      <c r="E40" s="279"/>
      <c r="F40" s="280"/>
      <c r="G40" s="280"/>
      <c r="H40" s="280"/>
      <c r="I40" s="280"/>
      <c r="J40" s="280"/>
      <c r="K40" s="280"/>
      <c r="L40" s="280"/>
      <c r="M40" s="280"/>
      <c r="N40" s="280"/>
      <c r="O40" s="281"/>
    </row>
    <row r="41" spans="5:15" ht="22.5">
      <c r="E41" s="38"/>
      <c r="F41" s="37"/>
      <c r="G41" s="37"/>
      <c r="H41" s="37"/>
      <c r="I41" s="37"/>
      <c r="J41" s="37"/>
      <c r="K41" s="37"/>
      <c r="L41" s="284" t="str">
        <f>" رئیس گروه مالیاتی شهرستان "&amp;data!D8&amp;CHAR(10)&amp;data!D13</f>
        <v xml:space="preserve"> رئیس گروه مالیاتی شهرستان اهواز
مسعود بصیر</v>
      </c>
      <c r="M41" s="284"/>
      <c r="N41" s="284"/>
      <c r="O41" s="285"/>
    </row>
    <row r="42" spans="5:15">
      <c r="E42" s="19"/>
      <c r="F42" s="8"/>
      <c r="G42" s="8"/>
      <c r="H42" s="8"/>
      <c r="I42" s="8"/>
      <c r="J42" s="8"/>
      <c r="K42" s="8"/>
      <c r="L42" s="284"/>
      <c r="M42" s="284"/>
      <c r="N42" s="284"/>
      <c r="O42" s="285"/>
    </row>
    <row r="43" spans="5:15" ht="14.25" customHeight="1">
      <c r="E43" s="282" t="str">
        <f>" نظر رئیس امور مالیاتی شهرستان "&amp;data!D8</f>
        <v xml:space="preserve"> نظر رئیس امور مالیاتی شهرستان اهواز</v>
      </c>
      <c r="F43" s="283"/>
      <c r="G43" s="283"/>
      <c r="H43" s="283"/>
      <c r="I43" s="8"/>
      <c r="J43" s="8"/>
      <c r="K43" s="8"/>
      <c r="L43" s="284"/>
      <c r="M43" s="284"/>
      <c r="N43" s="284"/>
      <c r="O43" s="285"/>
    </row>
    <row r="44" spans="5:15" ht="14.25" customHeight="1">
      <c r="E44" s="282"/>
      <c r="F44" s="283"/>
      <c r="G44" s="283"/>
      <c r="H44" s="283"/>
      <c r="I44" s="8"/>
      <c r="J44" s="8"/>
      <c r="K44" s="8"/>
      <c r="L44" s="8"/>
      <c r="M44" s="8"/>
      <c r="N44" s="8"/>
      <c r="O44" s="28"/>
    </row>
    <row r="45" spans="5:15" ht="14.25" customHeight="1">
      <c r="E45" s="273" t="str">
        <f ca="1">" رئیس گروه مالیاتی شهرستان "&amp;data!D8&amp;CHAR(10)&amp;" گزارش استرداد  مالیات اضافه دریافتی مربوط به عملکرد سال "&amp;data!D9&amp;" مودی "&amp;data!D4&amp;" با تعیین مبلغ "&amp;TEXT(-data!E62,"#,##0")&amp; " ریال مانده اضافه دریافتی قبل از کسر بدهی های مالیاتی دیگر و مبلغ "&amp;TEXT((-data!E62-data!P15),"#,##0")&amp; " ریال مانده اضافه دریافتی بعد از کسر بدهیهای مالیاتی دیگر که می بایست به مودی مسترد گردد، ملاحضه شد و مورد تایید است. لطفا دستور فرمایید اقدام به تهیه فرم استرداد مالیاتی بر اساس موازین قانونی دستورالعمل مربوط گردد."</f>
        <v xml:space="preserve"> رئیس گروه مالیاتی شهرستان اهواز
 گزارش استرداد  مالیات اضافه دریافتی مربوط به عملکرد سال  مودی  با تعیین مبلغ 0 ریال مانده اضافه دریافتی قبل از کسر بدهی های مالیاتی دیگر و مبلغ 0 ریال مانده اضافه دریافتی بعد از کسر بدهیهای مالیاتی دیگر که می بایست به مودی مسترد گردد، ملاحضه شد و مورد تایید است. لطفا دستور فرمایید اقدام به تهیه فرم استرداد مالیاتی بر اساس موازین قانونی دستورالعمل مربوط گردد.</v>
      </c>
      <c r="F45" s="274"/>
      <c r="G45" s="274"/>
      <c r="H45" s="274"/>
      <c r="I45" s="274"/>
      <c r="J45" s="274"/>
      <c r="K45" s="274"/>
      <c r="L45" s="274"/>
      <c r="M45" s="274"/>
      <c r="N45" s="274"/>
      <c r="O45" s="275"/>
    </row>
    <row r="46" spans="5:15" ht="14.25" customHeight="1">
      <c r="E46" s="276"/>
      <c r="F46" s="277"/>
      <c r="G46" s="277"/>
      <c r="H46" s="277"/>
      <c r="I46" s="277"/>
      <c r="J46" s="277"/>
      <c r="K46" s="277"/>
      <c r="L46" s="277"/>
      <c r="M46" s="277"/>
      <c r="N46" s="277"/>
      <c r="O46" s="278"/>
    </row>
    <row r="47" spans="5:15" ht="14.25" customHeight="1">
      <c r="E47" s="276"/>
      <c r="F47" s="277"/>
      <c r="G47" s="277"/>
      <c r="H47" s="277"/>
      <c r="I47" s="277"/>
      <c r="J47" s="277"/>
      <c r="K47" s="277"/>
      <c r="L47" s="277"/>
      <c r="M47" s="277"/>
      <c r="N47" s="277"/>
      <c r="O47" s="278"/>
    </row>
    <row r="48" spans="5:15" ht="14.25" customHeight="1">
      <c r="E48" s="276"/>
      <c r="F48" s="277"/>
      <c r="G48" s="277"/>
      <c r="H48" s="277"/>
      <c r="I48" s="277"/>
      <c r="J48" s="277"/>
      <c r="K48" s="277"/>
      <c r="L48" s="277"/>
      <c r="M48" s="277"/>
      <c r="N48" s="277"/>
      <c r="O48" s="278"/>
    </row>
    <row r="49" spans="5:15" ht="14.25" customHeight="1">
      <c r="E49" s="276"/>
      <c r="F49" s="277"/>
      <c r="G49" s="277"/>
      <c r="H49" s="277"/>
      <c r="I49" s="277"/>
      <c r="J49" s="277"/>
      <c r="K49" s="277"/>
      <c r="L49" s="277"/>
      <c r="M49" s="277"/>
      <c r="N49" s="277"/>
      <c r="O49" s="278"/>
    </row>
    <row r="50" spans="5:15" ht="14.25" customHeight="1">
      <c r="E50" s="276"/>
      <c r="F50" s="277"/>
      <c r="G50" s="277"/>
      <c r="H50" s="277"/>
      <c r="I50" s="277"/>
      <c r="J50" s="277"/>
      <c r="K50" s="277"/>
      <c r="L50" s="277"/>
      <c r="M50" s="277"/>
      <c r="N50" s="277"/>
      <c r="O50" s="278"/>
    </row>
    <row r="51" spans="5:15" ht="14.25" customHeight="1">
      <c r="E51" s="276"/>
      <c r="F51" s="277"/>
      <c r="G51" s="277"/>
      <c r="H51" s="277"/>
      <c r="I51" s="277"/>
      <c r="J51" s="277"/>
      <c r="K51" s="277"/>
      <c r="L51" s="277"/>
      <c r="M51" s="277"/>
      <c r="N51" s="277"/>
      <c r="O51" s="278"/>
    </row>
    <row r="52" spans="5:15" ht="22.5" customHeight="1">
      <c r="E52" s="279"/>
      <c r="F52" s="280"/>
      <c r="G52" s="280"/>
      <c r="H52" s="280"/>
      <c r="I52" s="280"/>
      <c r="J52" s="280"/>
      <c r="K52" s="280"/>
      <c r="L52" s="280"/>
      <c r="M52" s="280"/>
      <c r="N52" s="280"/>
      <c r="O52" s="281"/>
    </row>
    <row r="53" spans="5:15">
      <c r="E53" s="19"/>
      <c r="F53" s="8"/>
      <c r="G53" s="8"/>
      <c r="H53" s="8"/>
      <c r="I53" s="8"/>
      <c r="J53" s="8"/>
      <c r="K53" s="8"/>
      <c r="L53" s="271" t="str">
        <f>" رئیس امور مالیاتی شهرستان "&amp;data!D8&amp;CHAR(10)&amp;data!D12</f>
        <v xml:space="preserve"> رئیس امور مالیاتی شهرستان اهواز
غلامرضا اسلامی</v>
      </c>
      <c r="M53" s="271"/>
      <c r="N53" s="271"/>
      <c r="O53" s="272"/>
    </row>
    <row r="54" spans="5:15">
      <c r="E54" s="19"/>
      <c r="F54" s="8"/>
      <c r="G54" s="8"/>
      <c r="H54" s="8"/>
      <c r="I54" s="8"/>
      <c r="J54" s="8"/>
      <c r="K54" s="8"/>
      <c r="L54" s="271"/>
      <c r="M54" s="271"/>
      <c r="N54" s="271"/>
      <c r="O54" s="272"/>
    </row>
    <row r="55" spans="5:15">
      <c r="E55" s="19"/>
      <c r="F55" s="8"/>
      <c r="G55" s="8"/>
      <c r="H55" s="8"/>
      <c r="I55" s="8"/>
      <c r="J55" s="8"/>
      <c r="K55" s="8"/>
      <c r="L55" s="271"/>
      <c r="M55" s="271"/>
      <c r="N55" s="271"/>
      <c r="O55" s="272"/>
    </row>
    <row r="56" spans="5:15">
      <c r="E56" s="19"/>
      <c r="F56" s="8"/>
      <c r="G56" s="8"/>
      <c r="H56" s="8"/>
      <c r="I56" s="8"/>
      <c r="J56" s="8"/>
      <c r="K56" s="8"/>
      <c r="L56" s="271"/>
      <c r="M56" s="271"/>
      <c r="N56" s="271"/>
      <c r="O56" s="272"/>
    </row>
    <row r="57" spans="5:15">
      <c r="E57" s="19"/>
      <c r="F57" s="8"/>
      <c r="G57" s="8"/>
      <c r="H57" s="8"/>
      <c r="I57" s="8"/>
      <c r="J57" s="8"/>
      <c r="K57" s="8"/>
      <c r="L57" s="8"/>
      <c r="M57" s="8"/>
      <c r="N57" s="8"/>
      <c r="O57" s="28"/>
    </row>
    <row r="58" spans="5:15">
      <c r="E58" s="29"/>
      <c r="F58" s="30"/>
      <c r="G58" s="30"/>
      <c r="H58" s="30"/>
      <c r="I58" s="30"/>
      <c r="J58" s="30"/>
      <c r="K58" s="30"/>
      <c r="L58" s="30"/>
      <c r="M58" s="30"/>
      <c r="N58" s="30"/>
      <c r="O58" s="31"/>
    </row>
  </sheetData>
  <mergeCells count="13">
    <mergeCell ref="E2:M3"/>
    <mergeCell ref="E9:O11"/>
    <mergeCell ref="E17:O19"/>
    <mergeCell ref="L27:O30"/>
    <mergeCell ref="E31:H32"/>
    <mergeCell ref="E13:O15"/>
    <mergeCell ref="E6:O7"/>
    <mergeCell ref="E21:O25"/>
    <mergeCell ref="L53:O56"/>
    <mergeCell ref="E45:O52"/>
    <mergeCell ref="E33:O40"/>
    <mergeCell ref="E43:H44"/>
    <mergeCell ref="L41:O43"/>
  </mergeCells>
  <printOptions horizontalCentered="1" verticalCentered="1"/>
  <pageMargins left="0" right="0" top="0.35433070866141736" bottom="0" header="0.31496062992125984" footer="0.31496062992125984"/>
  <pageSetup paperSize="9" scale="9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8A630-042D-4616-841B-E7B4362E4709}">
  <sheetPr codeName="Sheet5">
    <tabColor theme="4" tint="0.39997558519241921"/>
  </sheetPr>
  <dimension ref="D3:N48"/>
  <sheetViews>
    <sheetView rightToLeft="1" topLeftCell="A16" workbookViewId="0">
      <selection activeCell="B9" sqref="B9"/>
    </sheetView>
  </sheetViews>
  <sheetFormatPr defaultRowHeight="15"/>
  <cols>
    <col min="4" max="4" width="6.75" customWidth="1"/>
    <col min="5" max="5" width="11.25" customWidth="1"/>
    <col min="6" max="6" width="9.625" customWidth="1"/>
    <col min="7" max="7" width="11.875" customWidth="1"/>
    <col min="8" max="8" width="9.625" customWidth="1"/>
    <col min="9" max="9" width="16.375" customWidth="1"/>
    <col min="10" max="10" width="18.375" bestFit="1" customWidth="1"/>
    <col min="11" max="12" width="10.375" bestFit="1" customWidth="1"/>
    <col min="13" max="13" width="9.625" customWidth="1"/>
  </cols>
  <sheetData>
    <row r="3" spans="4:14">
      <c r="D3" s="328"/>
      <c r="E3" s="328"/>
      <c r="F3" s="328"/>
      <c r="G3" s="328"/>
      <c r="H3" s="328"/>
      <c r="I3" s="328"/>
      <c r="J3" s="328"/>
      <c r="K3" s="328"/>
      <c r="L3" s="328"/>
      <c r="M3" s="328"/>
    </row>
    <row r="4" spans="4:14">
      <c r="D4" s="328"/>
      <c r="E4" s="328"/>
      <c r="F4" s="328"/>
      <c r="G4" s="328"/>
      <c r="H4" s="328"/>
      <c r="I4" s="328"/>
      <c r="J4" s="328"/>
      <c r="K4" s="328"/>
      <c r="L4" s="328"/>
      <c r="M4" s="328"/>
    </row>
    <row r="5" spans="4:14">
      <c r="D5" s="58"/>
      <c r="E5" s="40"/>
      <c r="F5" s="40"/>
      <c r="G5" s="40"/>
      <c r="H5" s="40"/>
      <c r="I5" s="40"/>
      <c r="J5" s="40"/>
      <c r="K5" s="40"/>
      <c r="L5" s="40"/>
      <c r="M5" s="59"/>
    </row>
    <row r="6" spans="4:14" ht="22.5">
      <c r="D6" s="60"/>
      <c r="E6" s="318" t="s">
        <v>28</v>
      </c>
      <c r="F6" s="318"/>
      <c r="G6" s="325"/>
      <c r="H6" s="309" t="s">
        <v>72</v>
      </c>
      <c r="I6" s="310"/>
      <c r="J6" s="311"/>
      <c r="K6" s="42"/>
      <c r="L6" s="42" t="s">
        <v>44</v>
      </c>
      <c r="M6" s="61">
        <f>data!M5</f>
        <v>0</v>
      </c>
      <c r="N6" s="2"/>
    </row>
    <row r="7" spans="4:14" ht="22.5">
      <c r="D7" s="60"/>
      <c r="E7" s="318" t="s">
        <v>29</v>
      </c>
      <c r="F7" s="318"/>
      <c r="G7" s="325"/>
      <c r="H7" s="312"/>
      <c r="I7" s="313"/>
      <c r="J7" s="314"/>
      <c r="K7" s="42"/>
      <c r="L7" s="42" t="s">
        <v>45</v>
      </c>
      <c r="M7" s="61">
        <f>data!N5</f>
        <v>0</v>
      </c>
      <c r="N7" s="2"/>
    </row>
    <row r="8" spans="4:14" ht="22.5">
      <c r="D8" s="60"/>
      <c r="E8" s="318" t="s">
        <v>30</v>
      </c>
      <c r="F8" s="318"/>
      <c r="G8" s="318"/>
      <c r="H8" s="42"/>
      <c r="I8" s="42"/>
      <c r="J8" s="42"/>
      <c r="K8" s="42"/>
      <c r="L8" s="42" t="s">
        <v>46</v>
      </c>
      <c r="M8" s="61">
        <f>data!D19</f>
        <v>0</v>
      </c>
      <c r="N8" s="2"/>
    </row>
    <row r="9" spans="4:14" ht="24">
      <c r="D9" s="60"/>
      <c r="E9" s="42"/>
      <c r="F9" s="329"/>
      <c r="G9" s="329"/>
      <c r="H9" s="329"/>
      <c r="I9" s="329"/>
      <c r="J9" s="329"/>
      <c r="K9" s="329"/>
      <c r="L9" s="42"/>
      <c r="M9" s="61"/>
      <c r="N9" s="2"/>
    </row>
    <row r="10" spans="4:14" ht="22.5">
      <c r="D10" s="60"/>
      <c r="E10" s="318" t="s">
        <v>31</v>
      </c>
      <c r="F10" s="318"/>
      <c r="G10" s="318"/>
      <c r="H10" s="318"/>
      <c r="I10" s="318"/>
      <c r="J10" s="318"/>
      <c r="K10" s="318"/>
      <c r="L10" s="318"/>
      <c r="M10" s="325"/>
      <c r="N10" s="1"/>
    </row>
    <row r="11" spans="4:14" ht="22.5">
      <c r="D11" s="60"/>
      <c r="E11" s="42"/>
      <c r="F11" s="42"/>
      <c r="G11" s="42"/>
      <c r="H11" s="42"/>
      <c r="I11" s="42"/>
      <c r="J11" s="42"/>
      <c r="K11" s="42"/>
      <c r="L11" s="42"/>
      <c r="M11" s="61"/>
      <c r="N11" s="2"/>
    </row>
    <row r="12" spans="4:14" ht="22.5">
      <c r="D12" s="294" t="s">
        <v>32</v>
      </c>
      <c r="E12" s="295"/>
      <c r="F12" s="295">
        <f>data!D4</f>
        <v>0</v>
      </c>
      <c r="G12" s="295"/>
      <c r="H12" s="295"/>
      <c r="I12" s="295" t="s">
        <v>33</v>
      </c>
      <c r="J12" s="295"/>
      <c r="K12" s="330">
        <f>data!D5</f>
        <v>0</v>
      </c>
      <c r="L12" s="295"/>
      <c r="M12" s="51"/>
      <c r="N12" s="2"/>
    </row>
    <row r="13" spans="4:14" ht="22.5">
      <c r="D13" s="332" t="s">
        <v>34</v>
      </c>
      <c r="E13" s="333"/>
      <c r="F13" s="331">
        <f>data!D17</f>
        <v>0</v>
      </c>
      <c r="G13" s="331"/>
      <c r="H13" s="331"/>
      <c r="I13" s="331"/>
      <c r="J13" s="331"/>
      <c r="K13" s="331"/>
      <c r="L13" s="331"/>
      <c r="M13" s="54"/>
      <c r="N13" s="2"/>
    </row>
    <row r="14" spans="4:14" ht="22.5">
      <c r="D14" s="297" t="s">
        <v>35</v>
      </c>
      <c r="E14" s="298"/>
      <c r="F14" s="298"/>
      <c r="G14" s="52">
        <f>data!D11</f>
        <v>0</v>
      </c>
      <c r="H14" s="52" t="s">
        <v>36</v>
      </c>
      <c r="I14" s="52">
        <f>data!D9</f>
        <v>0</v>
      </c>
      <c r="J14" s="52" t="s">
        <v>37</v>
      </c>
      <c r="K14" s="52">
        <f>data!D10</f>
        <v>0</v>
      </c>
      <c r="L14" s="52"/>
      <c r="M14" s="53"/>
      <c r="N14" s="2"/>
    </row>
    <row r="15" spans="4:14" ht="15.75" customHeight="1">
      <c r="D15" s="62"/>
      <c r="E15" s="33"/>
      <c r="F15" s="33"/>
      <c r="G15" s="33"/>
      <c r="H15" s="33"/>
      <c r="I15" s="33"/>
      <c r="J15" s="33"/>
      <c r="K15" s="33"/>
      <c r="L15" s="33"/>
      <c r="M15" s="63"/>
      <c r="N15" s="2"/>
    </row>
    <row r="16" spans="4:14" ht="22.5">
      <c r="D16" s="334" t="str">
        <f ca="1">" مبلغ"&amp;TEXT(data!J18,"#,##0")&amp;" ریال به موجب  "&amp;data!F18&amp;" فقره رسید مالیاتی به شرح ذیل به شرح  جدول الف "</f>
        <v xml:space="preserve"> مبلغ0 ریال به موجب  تعداد کل قبوض: 0 فقره رسید مالیاتی به شرح ذیل به شرح  جدول الف </v>
      </c>
      <c r="E16" s="335"/>
      <c r="F16" s="335"/>
      <c r="G16" s="335"/>
      <c r="H16" s="335"/>
      <c r="I16" s="335"/>
      <c r="J16" s="335"/>
      <c r="K16" s="335"/>
      <c r="L16" s="335"/>
      <c r="M16" s="336"/>
      <c r="N16" s="2"/>
    </row>
    <row r="17" spans="4:14" ht="22.5">
      <c r="D17" s="60"/>
      <c r="E17" s="6" t="s">
        <v>13</v>
      </c>
      <c r="F17" s="6" t="s">
        <v>14</v>
      </c>
      <c r="G17" s="6" t="s">
        <v>38</v>
      </c>
      <c r="H17" s="6" t="s">
        <v>5</v>
      </c>
      <c r="I17" s="6" t="s">
        <v>39</v>
      </c>
      <c r="J17" s="6" t="s">
        <v>40</v>
      </c>
      <c r="K17" s="6" t="s">
        <v>41</v>
      </c>
      <c r="L17" s="6"/>
      <c r="M17" s="61"/>
      <c r="N17" s="2"/>
    </row>
    <row r="18" spans="4:14" ht="22.5">
      <c r="D18" s="60"/>
      <c r="E18" s="57" t="s">
        <v>62</v>
      </c>
      <c r="F18" s="57" t="s">
        <v>62</v>
      </c>
      <c r="G18" s="57"/>
      <c r="H18" s="57" t="str">
        <f>data!D8</f>
        <v>اهواز</v>
      </c>
      <c r="I18" s="56">
        <f ca="1">data!J18</f>
        <v>0</v>
      </c>
      <c r="J18" s="55"/>
      <c r="K18" s="55"/>
      <c r="L18" s="55"/>
      <c r="M18" s="64"/>
    </row>
    <row r="19" spans="4:14" ht="14.25" customHeight="1">
      <c r="D19" s="315" t="str">
        <f>" پرداخت نموده اند که به موجب گزارش رسیدگی شماره "&amp;data!M6&amp; "مورخ"&amp;data!N6&amp;" اداره امور مالیاتی و رای هیات حل اختلاف مالیاتی مبلغ مالیات پرداختی به شرح زیر و به علت "&amp;data!D18&amp;" قابل استرداد تشخیص گردیده است"</f>
        <v xml:space="preserve"> پرداخت نموده اند که به موجب گزارش رسیدگی شماره مورخ اداره امور مالیاتی و رای هیات حل اختلاف مالیاتی مبلغ مالیات پرداختی به شرح زیر و به علت  قابل استرداد تشخیص گردیده است</v>
      </c>
      <c r="E19" s="316"/>
      <c r="F19" s="316"/>
      <c r="G19" s="316"/>
      <c r="H19" s="316"/>
      <c r="I19" s="316"/>
      <c r="J19" s="316"/>
      <c r="K19" s="316"/>
      <c r="L19" s="316"/>
      <c r="M19" s="317"/>
    </row>
    <row r="20" spans="4:14" ht="14.25" customHeight="1">
      <c r="D20" s="315"/>
      <c r="E20" s="316"/>
      <c r="F20" s="316"/>
      <c r="G20" s="316"/>
      <c r="H20" s="316"/>
      <c r="I20" s="316"/>
      <c r="J20" s="316"/>
      <c r="K20" s="316"/>
      <c r="L20" s="316"/>
      <c r="M20" s="317"/>
    </row>
    <row r="21" spans="4:14" ht="14.25" customHeight="1">
      <c r="D21" s="315"/>
      <c r="E21" s="316"/>
      <c r="F21" s="316"/>
      <c r="G21" s="316"/>
      <c r="H21" s="316"/>
      <c r="I21" s="316"/>
      <c r="J21" s="316"/>
      <c r="K21" s="316"/>
      <c r="L21" s="316"/>
      <c r="M21" s="317"/>
    </row>
    <row r="22" spans="4:14" ht="14.25" customHeight="1">
      <c r="D22" s="315"/>
      <c r="E22" s="316"/>
      <c r="F22" s="316"/>
      <c r="G22" s="316"/>
      <c r="H22" s="316"/>
      <c r="I22" s="316"/>
      <c r="J22" s="316"/>
      <c r="K22" s="316"/>
      <c r="L22" s="316"/>
      <c r="M22" s="317"/>
    </row>
    <row r="23" spans="4:14" ht="14.25" customHeight="1">
      <c r="D23" s="315"/>
      <c r="E23" s="316"/>
      <c r="F23" s="316"/>
      <c r="G23" s="316"/>
      <c r="H23" s="316"/>
      <c r="I23" s="316"/>
      <c r="J23" s="316"/>
      <c r="K23" s="316"/>
      <c r="L23" s="316"/>
      <c r="M23" s="317"/>
    </row>
    <row r="24" spans="4:14" ht="22.5">
      <c r="D24" s="60"/>
      <c r="E24" s="337" t="s">
        <v>47</v>
      </c>
      <c r="F24" s="338"/>
      <c r="G24" s="338"/>
      <c r="H24" s="338"/>
      <c r="I24" s="339"/>
      <c r="J24" s="337" t="s">
        <v>48</v>
      </c>
      <c r="K24" s="338"/>
      <c r="L24" s="339"/>
      <c r="M24" s="64"/>
    </row>
    <row r="25" spans="4:14" ht="22.5">
      <c r="D25" s="60"/>
      <c r="E25" s="322" t="s">
        <v>49</v>
      </c>
      <c r="F25" s="323"/>
      <c r="G25" s="323"/>
      <c r="H25" s="323"/>
      <c r="I25" s="324"/>
      <c r="J25" s="319">
        <f ca="1">data!H27</f>
        <v>0</v>
      </c>
      <c r="K25" s="320"/>
      <c r="L25" s="321"/>
      <c r="M25" s="64"/>
    </row>
    <row r="26" spans="4:14" ht="22.5">
      <c r="D26" s="60"/>
      <c r="E26" s="322" t="s">
        <v>50</v>
      </c>
      <c r="F26" s="323"/>
      <c r="G26" s="323"/>
      <c r="H26" s="323"/>
      <c r="I26" s="324"/>
      <c r="J26" s="319">
        <f>data!H28</f>
        <v>0</v>
      </c>
      <c r="K26" s="320"/>
      <c r="L26" s="321"/>
      <c r="M26" s="64"/>
    </row>
    <row r="27" spans="4:14" ht="22.5">
      <c r="D27" s="60"/>
      <c r="E27" s="322" t="s">
        <v>51</v>
      </c>
      <c r="F27" s="323"/>
      <c r="G27" s="323"/>
      <c r="H27" s="323"/>
      <c r="I27" s="324"/>
      <c r="J27" s="319">
        <f>data!H30</f>
        <v>0</v>
      </c>
      <c r="K27" s="320"/>
      <c r="L27" s="321"/>
      <c r="M27" s="64"/>
    </row>
    <row r="28" spans="4:14" ht="22.5">
      <c r="D28" s="60"/>
      <c r="E28" s="322" t="s">
        <v>52</v>
      </c>
      <c r="F28" s="323"/>
      <c r="G28" s="323"/>
      <c r="H28" s="323"/>
      <c r="I28" s="324"/>
      <c r="J28" s="319" t="e">
        <f>data!#REF!</f>
        <v>#REF!</v>
      </c>
      <c r="K28" s="320"/>
      <c r="L28" s="321"/>
      <c r="M28" s="64"/>
    </row>
    <row r="29" spans="4:14" ht="22.5">
      <c r="D29" s="60"/>
      <c r="E29" s="322" t="s">
        <v>56</v>
      </c>
      <c r="F29" s="323"/>
      <c r="G29" s="323"/>
      <c r="H29" s="323"/>
      <c r="I29" s="324"/>
      <c r="J29" s="319">
        <f>data!H31</f>
        <v>0</v>
      </c>
      <c r="K29" s="320"/>
      <c r="L29" s="321"/>
      <c r="M29" s="64"/>
    </row>
    <row r="30" spans="4:14" ht="22.5">
      <c r="D30" s="60"/>
      <c r="E30" s="322" t="s">
        <v>53</v>
      </c>
      <c r="F30" s="323"/>
      <c r="G30" s="323"/>
      <c r="H30" s="323"/>
      <c r="I30" s="324"/>
      <c r="J30" s="319">
        <f ca="1">data!H32</f>
        <v>0</v>
      </c>
      <c r="K30" s="320"/>
      <c r="L30" s="321"/>
      <c r="M30" s="64"/>
    </row>
    <row r="31" spans="4:14" ht="14.25" customHeight="1">
      <c r="D31" s="315" t="str">
        <f ca="1">"در اجرای مفاد ماده  242 قانون مالیات مستقیم به شرح ذیل مقرر می گردد:"&amp;CHAR(10)&amp;data!D18&amp;" قابل استرداد تشخیص گردیده است علیهذا خواشمند است در اجرای ماده 242 اصلاحی قانون مالیات های مستقیم مصوب 1380/11/27 مبلغ "&amp;TEXT(J30,"#,##0")&amp;" ریال اضافه دریافتی و خسارت تاخیر را از محل وصولی جاری ظرف یک ماه برگشت و به ذینفع پرداخت و نسخه ای  از سند پرداخت را جهت ضبط در پرونده مالیات بر عملکرد امور مالیاتی شهرستان "&amp;data!D8&amp;" ارسال نمایید"</f>
        <v>در اجرای مفاد ماده  242 قانون مالیات مستقیم به شرح ذیل مقرر می گردد:
 قابل استرداد تشخیص گردیده است علیهذا خواشمند است در اجرای ماده 242 اصلاحی قانون مالیات های مستقیم مصوب 1380/11/27 مبلغ 0 ریال اضافه دریافتی و خسارت تاخیر را از محل وصولی جاری ظرف یک ماه برگشت و به ذینفع پرداخت و نسخه ای  از سند پرداخت را جهت ضبط در پرونده مالیات بر عملکرد امور مالیاتی شهرستان اهواز ارسال نمایید</v>
      </c>
      <c r="E31" s="316"/>
      <c r="F31" s="316"/>
      <c r="G31" s="316"/>
      <c r="H31" s="316"/>
      <c r="I31" s="316"/>
      <c r="J31" s="316"/>
      <c r="K31" s="316"/>
      <c r="L31" s="316"/>
      <c r="M31" s="317"/>
    </row>
    <row r="32" spans="4:14" ht="14.25" customHeight="1">
      <c r="D32" s="315"/>
      <c r="E32" s="316"/>
      <c r="F32" s="316"/>
      <c r="G32" s="316"/>
      <c r="H32" s="316"/>
      <c r="I32" s="316"/>
      <c r="J32" s="316"/>
      <c r="K32" s="316"/>
      <c r="L32" s="316"/>
      <c r="M32" s="317"/>
    </row>
    <row r="33" spans="4:13" ht="14.25" customHeight="1">
      <c r="D33" s="315"/>
      <c r="E33" s="316"/>
      <c r="F33" s="316"/>
      <c r="G33" s="316"/>
      <c r="H33" s="316"/>
      <c r="I33" s="316"/>
      <c r="J33" s="316"/>
      <c r="K33" s="316"/>
      <c r="L33" s="316"/>
      <c r="M33" s="317"/>
    </row>
    <row r="34" spans="4:13" ht="14.25" customHeight="1">
      <c r="D34" s="315"/>
      <c r="E34" s="316"/>
      <c r="F34" s="316"/>
      <c r="G34" s="316"/>
      <c r="H34" s="316"/>
      <c r="I34" s="316"/>
      <c r="J34" s="316"/>
      <c r="K34" s="316"/>
      <c r="L34" s="316"/>
      <c r="M34" s="317"/>
    </row>
    <row r="35" spans="4:13" ht="14.25" customHeight="1">
      <c r="D35" s="315"/>
      <c r="E35" s="316"/>
      <c r="F35" s="316"/>
      <c r="G35" s="316"/>
      <c r="H35" s="316"/>
      <c r="I35" s="316"/>
      <c r="J35" s="316"/>
      <c r="K35" s="316"/>
      <c r="L35" s="316"/>
      <c r="M35" s="317"/>
    </row>
    <row r="36" spans="4:13" ht="14.25" customHeight="1">
      <c r="D36" s="315"/>
      <c r="E36" s="316"/>
      <c r="F36" s="316"/>
      <c r="G36" s="316"/>
      <c r="H36" s="316"/>
      <c r="I36" s="316"/>
      <c r="J36" s="316"/>
      <c r="K36" s="316"/>
      <c r="L36" s="316"/>
      <c r="M36" s="317"/>
    </row>
    <row r="37" spans="4:13" ht="14.25" customHeight="1">
      <c r="D37" s="315"/>
      <c r="E37" s="316"/>
      <c r="F37" s="316"/>
      <c r="G37" s="316"/>
      <c r="H37" s="316"/>
      <c r="I37" s="316"/>
      <c r="J37" s="316"/>
      <c r="K37" s="316"/>
      <c r="L37" s="316"/>
      <c r="M37" s="317"/>
    </row>
    <row r="38" spans="4:13" ht="14.25" customHeight="1">
      <c r="D38" s="315"/>
      <c r="E38" s="316"/>
      <c r="F38" s="316"/>
      <c r="G38" s="316"/>
      <c r="H38" s="316"/>
      <c r="I38" s="316"/>
      <c r="J38" s="316"/>
      <c r="K38" s="316"/>
      <c r="L38" s="316"/>
      <c r="M38" s="317"/>
    </row>
    <row r="39" spans="4:13" ht="14.25" customHeight="1">
      <c r="D39" s="315"/>
      <c r="E39" s="316"/>
      <c r="F39" s="316"/>
      <c r="G39" s="316"/>
      <c r="H39" s="316"/>
      <c r="I39" s="316"/>
      <c r="J39" s="316"/>
      <c r="K39" s="316"/>
      <c r="L39" s="316"/>
      <c r="M39" s="317"/>
    </row>
    <row r="40" spans="4:13">
      <c r="D40" s="19"/>
      <c r="E40" s="326" t="str">
        <f>" رسید بانکی"&amp;"/"&amp;" رسید های بانکی پرداخت مالیات که برای اصلاح یا ابطال به ضمیمه ایفاد می گردد، به شرح زیر است:"</f>
        <v xml:space="preserve"> رسید بانکی/ رسید های بانکی پرداخت مالیات که برای اصلاح یا ابطال به ضمیمه ایفاد می گردد، به شرح زیر است:</v>
      </c>
      <c r="F40" s="326"/>
      <c r="G40" s="326"/>
      <c r="H40" s="326"/>
      <c r="I40" s="326"/>
      <c r="J40" s="326"/>
      <c r="K40" s="326"/>
      <c r="L40" s="326"/>
      <c r="M40" s="28"/>
    </row>
    <row r="41" spans="4:13">
      <c r="D41" s="19"/>
      <c r="E41" s="327"/>
      <c r="F41" s="327"/>
      <c r="G41" s="327"/>
      <c r="H41" s="327"/>
      <c r="I41" s="327"/>
      <c r="J41" s="327"/>
      <c r="K41" s="327"/>
      <c r="L41" s="327"/>
      <c r="M41" s="28"/>
    </row>
    <row r="42" spans="4:13" ht="22.5">
      <c r="D42" s="19"/>
      <c r="E42" s="7" t="s">
        <v>13</v>
      </c>
      <c r="F42" s="7" t="s">
        <v>14</v>
      </c>
      <c r="G42" s="7" t="s">
        <v>38</v>
      </c>
      <c r="H42" s="7" t="s">
        <v>5</v>
      </c>
      <c r="I42" s="7" t="s">
        <v>39</v>
      </c>
      <c r="J42" s="7" t="s">
        <v>40</v>
      </c>
      <c r="K42" s="337" t="s">
        <v>54</v>
      </c>
      <c r="L42" s="339"/>
      <c r="M42" s="28"/>
    </row>
    <row r="43" spans="4:13">
      <c r="D43" s="19"/>
      <c r="E43" s="3" t="s">
        <v>62</v>
      </c>
      <c r="F43" s="3" t="s">
        <v>62</v>
      </c>
      <c r="G43" s="3" t="s">
        <v>62</v>
      </c>
      <c r="H43" s="3"/>
      <c r="I43" s="3" t="s">
        <v>62</v>
      </c>
      <c r="J43" s="3"/>
      <c r="K43" s="262" t="s">
        <v>62</v>
      </c>
      <c r="L43" s="264"/>
      <c r="M43" s="28"/>
    </row>
    <row r="44" spans="4:13">
      <c r="D44" s="19"/>
      <c r="E44" s="8"/>
      <c r="F44" s="8"/>
      <c r="G44" s="8"/>
      <c r="H44" s="8"/>
      <c r="I44" s="8"/>
      <c r="J44" s="8"/>
      <c r="K44" s="8"/>
      <c r="L44" s="8"/>
      <c r="M44" s="28"/>
    </row>
    <row r="45" spans="4:13" ht="22.5">
      <c r="D45" s="19"/>
      <c r="E45" s="318" t="s">
        <v>55</v>
      </c>
      <c r="F45" s="318"/>
      <c r="G45" s="318"/>
      <c r="H45" s="318"/>
      <c r="I45" s="8"/>
      <c r="J45" s="318" t="s">
        <v>55</v>
      </c>
      <c r="K45" s="318"/>
      <c r="L45" s="318"/>
      <c r="M45" s="28"/>
    </row>
    <row r="46" spans="4:13" ht="22.5">
      <c r="D46" s="19"/>
      <c r="E46" s="42" t="str">
        <f>" رئیس گروه مالیاتی "&amp;data!D6&amp;" شهرستان "&amp;data!D8</f>
        <v xml:space="preserve"> رئیس گروه مالیاتی 160300 شهرستان اهواز</v>
      </c>
      <c r="F46" s="42"/>
      <c r="G46" s="42"/>
      <c r="H46" s="8"/>
      <c r="I46" s="8"/>
      <c r="J46" s="318" t="str">
        <f>" رئیس امور مالیاتی "&amp;data!D6&amp;" شهرستان "&amp;data!D8</f>
        <v xml:space="preserve"> رئیس امور مالیاتی 160300 شهرستان اهواز</v>
      </c>
      <c r="K46" s="318"/>
      <c r="L46" s="318"/>
      <c r="M46" s="28"/>
    </row>
    <row r="47" spans="4:13" ht="22.5">
      <c r="D47" s="19"/>
      <c r="E47" s="318" t="str">
        <f>data!D13</f>
        <v>مسعود بصیر</v>
      </c>
      <c r="F47" s="318"/>
      <c r="G47" s="318"/>
      <c r="H47" s="318"/>
      <c r="I47" s="8"/>
      <c r="J47" s="318" t="str">
        <f>data!D12</f>
        <v>غلامرضا اسلامی</v>
      </c>
      <c r="K47" s="318"/>
      <c r="L47" s="318"/>
      <c r="M47" s="28"/>
    </row>
    <row r="48" spans="4:13">
      <c r="D48" s="29"/>
      <c r="E48" s="30"/>
      <c r="F48" s="30"/>
      <c r="G48" s="30"/>
      <c r="H48" s="30"/>
      <c r="I48" s="30"/>
      <c r="J48" s="30"/>
      <c r="K48" s="30"/>
      <c r="L48" s="30"/>
      <c r="M48" s="31"/>
    </row>
  </sheetData>
  <mergeCells count="39">
    <mergeCell ref="K42:L42"/>
    <mergeCell ref="E28:I28"/>
    <mergeCell ref="E29:I29"/>
    <mergeCell ref="J25:L25"/>
    <mergeCell ref="J26:L26"/>
    <mergeCell ref="J27:L27"/>
    <mergeCell ref="D31:M39"/>
    <mergeCell ref="D3:M4"/>
    <mergeCell ref="E6:G6"/>
    <mergeCell ref="E7:G7"/>
    <mergeCell ref="E8:G8"/>
    <mergeCell ref="J28:L28"/>
    <mergeCell ref="F9:K9"/>
    <mergeCell ref="F12:H12"/>
    <mergeCell ref="I12:J12"/>
    <mergeCell ref="K12:L12"/>
    <mergeCell ref="F13:L13"/>
    <mergeCell ref="D12:E12"/>
    <mergeCell ref="D13:E13"/>
    <mergeCell ref="D16:M16"/>
    <mergeCell ref="E24:I24"/>
    <mergeCell ref="J24:L24"/>
    <mergeCell ref="E25:I25"/>
    <mergeCell ref="H6:J7"/>
    <mergeCell ref="D19:M23"/>
    <mergeCell ref="J47:L47"/>
    <mergeCell ref="E47:H47"/>
    <mergeCell ref="E45:H45"/>
    <mergeCell ref="J29:L29"/>
    <mergeCell ref="E26:I26"/>
    <mergeCell ref="E27:I27"/>
    <mergeCell ref="J45:L45"/>
    <mergeCell ref="J46:L46"/>
    <mergeCell ref="E10:M10"/>
    <mergeCell ref="E30:I30"/>
    <mergeCell ref="J30:L30"/>
    <mergeCell ref="E40:L41"/>
    <mergeCell ref="K43:L43"/>
    <mergeCell ref="D14:F14"/>
  </mergeCells>
  <printOptions horizontalCentered="1" verticalCentered="1"/>
  <pageMargins left="0" right="0" top="0.74803149606299213" bottom="0.74803149606299213" header="0.31496062992125984" footer="0.31496062992125984"/>
  <pageSetup paperSize="9" scale="8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B5B5-76CC-45AC-85BD-1C2496B8317A}">
  <sheetPr codeName="Sheet6">
    <tabColor theme="5" tint="-0.249977111117893"/>
  </sheetPr>
  <dimension ref="D3:M47"/>
  <sheetViews>
    <sheetView rightToLeft="1" workbookViewId="0">
      <selection activeCell="D8" sqref="D8:M20"/>
    </sheetView>
  </sheetViews>
  <sheetFormatPr defaultRowHeight="15"/>
  <cols>
    <col min="13" max="13" width="12.25" bestFit="1" customWidth="1"/>
  </cols>
  <sheetData>
    <row r="3" spans="4:13" ht="14.25" customHeight="1">
      <c r="D3" s="9"/>
      <c r="E3" s="10"/>
      <c r="F3" s="10"/>
      <c r="G3" s="10"/>
      <c r="H3" s="10"/>
      <c r="I3" s="10"/>
      <c r="J3" s="10"/>
      <c r="K3" s="10"/>
      <c r="L3" s="10"/>
      <c r="M3" s="11"/>
    </row>
    <row r="4" spans="4:13" ht="14.25" customHeight="1">
      <c r="D4" s="12"/>
      <c r="E4" s="13"/>
      <c r="F4" s="13"/>
      <c r="G4" s="13"/>
      <c r="H4" s="13"/>
      <c r="I4" s="13"/>
      <c r="J4" s="13"/>
      <c r="K4" s="13"/>
      <c r="L4" s="14" t="s">
        <v>18</v>
      </c>
      <c r="M4" s="15">
        <f>data!M7</f>
        <v>0</v>
      </c>
    </row>
    <row r="5" spans="4:13" ht="26.25">
      <c r="D5" s="16"/>
      <c r="E5" s="17"/>
      <c r="F5" s="17"/>
      <c r="G5" s="17"/>
      <c r="H5" s="17"/>
      <c r="I5" s="17"/>
      <c r="J5" s="17"/>
      <c r="K5" s="17"/>
      <c r="L5" s="14" t="s">
        <v>45</v>
      </c>
      <c r="M5" s="18">
        <f>data!N7</f>
        <v>0</v>
      </c>
    </row>
    <row r="6" spans="4:13" ht="26.25">
      <c r="D6" s="19"/>
      <c r="E6" s="13"/>
      <c r="F6" s="13"/>
      <c r="G6" s="341" t="s">
        <v>60</v>
      </c>
      <c r="H6" s="341"/>
      <c r="I6" s="341"/>
      <c r="J6" s="341"/>
      <c r="K6" s="13"/>
      <c r="L6" s="13"/>
      <c r="M6" s="20"/>
    </row>
    <row r="7" spans="4:13" ht="26.25">
      <c r="D7" s="16"/>
      <c r="E7" s="17"/>
      <c r="F7" s="17"/>
      <c r="G7" s="17"/>
      <c r="H7" s="17"/>
      <c r="I7" s="17"/>
      <c r="J7" s="17"/>
      <c r="K7" s="17"/>
      <c r="L7" s="17"/>
      <c r="M7" s="26"/>
    </row>
    <row r="8" spans="4:13" ht="14.25" customHeight="1">
      <c r="D8" s="342" t="str">
        <f>CHAR(10)&amp;CHAR(10)&amp;" اینجانب "&amp;data!D14&amp;" کارشناس ارشد مالیاتی اداره امور مالیاتی "&amp;data!D6&amp;" شهرستان "&amp;data!D8&amp;" بدینوسیله متعهد می گردم که قبوض به شرح جدول الف(ضمیمه) سال"&amp;data!D9&amp;" مربوط به مودی "&amp;data!D4&amp;" قبلا لحاظ یا مسترد نشده است و چنانچه قبض مذکور در سال های یاد شده از سوی اینجانب مورد سوء استفاده قرار گیرد و از این جهت ضرر و زیانی متوجه دولت شود، کلیه خسارات وارده را جبران نمایم."&amp;CHAR(10)&amp;CHAR(10)&amp;"حسابرس ارشد مالیاتی "&amp;data!D6&amp;" شهرستان "&amp;data!D8&amp;"                         رئیس گروه مالیاتی "&amp;data!D6&amp;" شهرستان "&amp;data!D8</f>
        <v xml:space="preserve">
 اینجانب مهدی دلفی کارشناس ارشد مالیاتی اداره امور مالیاتی 160300 شهرستان اهواز بدینوسیله متعهد می گردم که قبوض به شرح جدول الف(ضمیمه) سال مربوط به مودی  قبلا لحاظ یا مسترد نشده است و چنانچه قبض مذکور در سال های یاد شده از سوی اینجانب مورد سوء استفاده قرار گیرد و از این جهت ضرر و زیانی متوجه دولت شود، کلیه خسارات وارده را جبران نمایم.
حسابرس ارشد مالیاتی 160300 شهرستان اهواز                         رئیس گروه مالیاتی 160300 شهرستان اهواز</v>
      </c>
      <c r="E8" s="327"/>
      <c r="F8" s="327"/>
      <c r="G8" s="327"/>
      <c r="H8" s="327"/>
      <c r="I8" s="327"/>
      <c r="J8" s="327"/>
      <c r="K8" s="327"/>
      <c r="L8" s="327"/>
      <c r="M8" s="343"/>
    </row>
    <row r="9" spans="4:13" ht="14.25" customHeight="1">
      <c r="D9" s="342"/>
      <c r="E9" s="327"/>
      <c r="F9" s="327"/>
      <c r="G9" s="327"/>
      <c r="H9" s="327"/>
      <c r="I9" s="327"/>
      <c r="J9" s="327"/>
      <c r="K9" s="327"/>
      <c r="L9" s="327"/>
      <c r="M9" s="343"/>
    </row>
    <row r="10" spans="4:13" ht="14.25" customHeight="1">
      <c r="D10" s="342"/>
      <c r="E10" s="327"/>
      <c r="F10" s="327"/>
      <c r="G10" s="327"/>
      <c r="H10" s="327"/>
      <c r="I10" s="327"/>
      <c r="J10" s="327"/>
      <c r="K10" s="327"/>
      <c r="L10" s="327"/>
      <c r="M10" s="343"/>
    </row>
    <row r="11" spans="4:13" ht="14.25" customHeight="1">
      <c r="D11" s="342"/>
      <c r="E11" s="327"/>
      <c r="F11" s="327"/>
      <c r="G11" s="327"/>
      <c r="H11" s="327"/>
      <c r="I11" s="327"/>
      <c r="J11" s="327"/>
      <c r="K11" s="327"/>
      <c r="L11" s="327"/>
      <c r="M11" s="343"/>
    </row>
    <row r="12" spans="4:13" ht="14.25" customHeight="1">
      <c r="D12" s="342"/>
      <c r="E12" s="327"/>
      <c r="F12" s="327"/>
      <c r="G12" s="327"/>
      <c r="H12" s="327"/>
      <c r="I12" s="327"/>
      <c r="J12" s="327"/>
      <c r="K12" s="327"/>
      <c r="L12" s="327"/>
      <c r="M12" s="343"/>
    </row>
    <row r="13" spans="4:13" ht="14.25" customHeight="1">
      <c r="D13" s="342"/>
      <c r="E13" s="327"/>
      <c r="F13" s="327"/>
      <c r="G13" s="327"/>
      <c r="H13" s="327"/>
      <c r="I13" s="327"/>
      <c r="J13" s="327"/>
      <c r="K13" s="327"/>
      <c r="L13" s="327"/>
      <c r="M13" s="343"/>
    </row>
    <row r="14" spans="4:13" ht="14.25" customHeight="1">
      <c r="D14" s="342"/>
      <c r="E14" s="327"/>
      <c r="F14" s="327"/>
      <c r="G14" s="327"/>
      <c r="H14" s="327"/>
      <c r="I14" s="327"/>
      <c r="J14" s="327"/>
      <c r="K14" s="327"/>
      <c r="L14" s="327"/>
      <c r="M14" s="343"/>
    </row>
    <row r="15" spans="4:13" ht="14.25" customHeight="1">
      <c r="D15" s="342"/>
      <c r="E15" s="327"/>
      <c r="F15" s="327"/>
      <c r="G15" s="327"/>
      <c r="H15" s="327"/>
      <c r="I15" s="327"/>
      <c r="J15" s="327"/>
      <c r="K15" s="327"/>
      <c r="L15" s="327"/>
      <c r="M15" s="343"/>
    </row>
    <row r="16" spans="4:13" ht="14.25" customHeight="1">
      <c r="D16" s="342"/>
      <c r="E16" s="327"/>
      <c r="F16" s="327"/>
      <c r="G16" s="327"/>
      <c r="H16" s="327"/>
      <c r="I16" s="327"/>
      <c r="J16" s="327"/>
      <c r="K16" s="327"/>
      <c r="L16" s="327"/>
      <c r="M16" s="343"/>
    </row>
    <row r="17" spans="4:13" ht="14.25" customHeight="1">
      <c r="D17" s="342"/>
      <c r="E17" s="327"/>
      <c r="F17" s="327"/>
      <c r="G17" s="327"/>
      <c r="H17" s="327"/>
      <c r="I17" s="327"/>
      <c r="J17" s="327"/>
      <c r="K17" s="327"/>
      <c r="L17" s="327"/>
      <c r="M17" s="343"/>
    </row>
    <row r="18" spans="4:13" ht="14.25" customHeight="1">
      <c r="D18" s="342"/>
      <c r="E18" s="327"/>
      <c r="F18" s="327"/>
      <c r="G18" s="327"/>
      <c r="H18" s="327"/>
      <c r="I18" s="327"/>
      <c r="J18" s="327"/>
      <c r="K18" s="327"/>
      <c r="L18" s="327"/>
      <c r="M18" s="343"/>
    </row>
    <row r="19" spans="4:13" ht="14.25" customHeight="1">
      <c r="D19" s="342"/>
      <c r="E19" s="327"/>
      <c r="F19" s="327"/>
      <c r="G19" s="327"/>
      <c r="H19" s="327"/>
      <c r="I19" s="327"/>
      <c r="J19" s="327"/>
      <c r="K19" s="327"/>
      <c r="L19" s="327"/>
      <c r="M19" s="343"/>
    </row>
    <row r="20" spans="4:13" ht="14.25" customHeight="1">
      <c r="D20" s="342"/>
      <c r="E20" s="327"/>
      <c r="F20" s="327"/>
      <c r="G20" s="327"/>
      <c r="H20" s="327"/>
      <c r="I20" s="327"/>
      <c r="J20" s="327"/>
      <c r="K20" s="327"/>
      <c r="L20" s="327"/>
      <c r="M20" s="343"/>
    </row>
    <row r="21" spans="4:13" ht="14.25" customHeight="1">
      <c r="D21" s="21"/>
      <c r="E21" s="4"/>
      <c r="F21" s="340" t="str">
        <f>data!D14</f>
        <v>مهدی دلفی</v>
      </c>
      <c r="G21" s="340"/>
      <c r="H21" s="4"/>
      <c r="I21" s="4"/>
      <c r="J21" s="4"/>
      <c r="K21" s="340" t="str">
        <f>data!D13</f>
        <v>مسعود بصیر</v>
      </c>
      <c r="L21" s="340"/>
      <c r="M21" s="22"/>
    </row>
    <row r="22" spans="4:13" ht="14.25" customHeight="1">
      <c r="D22" s="21"/>
      <c r="E22" s="4"/>
      <c r="F22" s="340"/>
      <c r="G22" s="340"/>
      <c r="H22" s="4"/>
      <c r="I22" s="4"/>
      <c r="J22" s="4"/>
      <c r="K22" s="340"/>
      <c r="L22" s="340"/>
      <c r="M22" s="22"/>
    </row>
    <row r="23" spans="4:13" ht="14.25" customHeight="1">
      <c r="D23" s="21"/>
      <c r="E23" s="4"/>
      <c r="F23" s="4"/>
      <c r="G23" s="4"/>
      <c r="H23" s="4"/>
      <c r="I23" s="4"/>
      <c r="J23" s="4"/>
      <c r="K23" s="4"/>
      <c r="L23" s="4"/>
      <c r="M23" s="22"/>
    </row>
    <row r="24" spans="4:13" ht="14.25" customHeight="1">
      <c r="D24" s="21"/>
      <c r="E24" s="4"/>
      <c r="F24" s="4"/>
      <c r="G24" s="4"/>
      <c r="H24" s="4"/>
      <c r="I24" s="4"/>
      <c r="J24" s="4"/>
      <c r="K24" s="4"/>
      <c r="L24" s="4"/>
      <c r="M24" s="22"/>
    </row>
    <row r="25" spans="4:13" ht="14.25" customHeight="1">
      <c r="D25" s="21"/>
      <c r="E25" s="4"/>
      <c r="F25" s="4"/>
      <c r="G25" s="344" t="str">
        <f>CHAR(10)&amp;CHAR(10)&amp;CHAR(10)&amp;"        رئیس امور مالیاتی "&amp;data!D6&amp;" شهرستان "&amp;data!D8</f>
        <v xml:space="preserve">
        رئیس امور مالیاتی 160300 شهرستان اهواز</v>
      </c>
      <c r="H25" s="344"/>
      <c r="I25" s="344"/>
      <c r="J25" s="344"/>
      <c r="K25" s="344"/>
      <c r="L25" s="4"/>
      <c r="M25" s="22"/>
    </row>
    <row r="26" spans="4:13" ht="14.25" customHeight="1">
      <c r="D26" s="21"/>
      <c r="E26" s="4"/>
      <c r="F26" s="4"/>
      <c r="G26" s="344"/>
      <c r="H26" s="344"/>
      <c r="I26" s="344"/>
      <c r="J26" s="344"/>
      <c r="K26" s="344"/>
      <c r="L26" s="4"/>
      <c r="M26" s="22"/>
    </row>
    <row r="27" spans="4:13" ht="14.25" customHeight="1">
      <c r="D27" s="21"/>
      <c r="E27" s="4"/>
      <c r="F27" s="4"/>
      <c r="G27" s="344"/>
      <c r="H27" s="344"/>
      <c r="I27" s="344"/>
      <c r="J27" s="344"/>
      <c r="K27" s="344"/>
      <c r="L27" s="4"/>
      <c r="M27" s="22"/>
    </row>
    <row r="28" spans="4:13" ht="14.25" customHeight="1">
      <c r="D28" s="21"/>
      <c r="E28" s="4"/>
      <c r="F28" s="4"/>
      <c r="G28" s="4"/>
      <c r="H28" s="340" t="str">
        <f>data!D12</f>
        <v>غلامرضا اسلامی</v>
      </c>
      <c r="I28" s="340"/>
      <c r="J28" s="340"/>
      <c r="K28" s="4"/>
      <c r="L28" s="4"/>
      <c r="M28" s="22"/>
    </row>
    <row r="29" spans="4:13" ht="14.25" customHeight="1">
      <c r="D29" s="21"/>
      <c r="E29" s="4"/>
      <c r="F29" s="4"/>
      <c r="G29" s="4"/>
      <c r="H29" s="340"/>
      <c r="I29" s="340"/>
      <c r="J29" s="340"/>
      <c r="K29" s="4"/>
      <c r="L29" s="4"/>
      <c r="M29" s="22"/>
    </row>
    <row r="30" spans="4:13" ht="14.25" customHeight="1">
      <c r="D30" s="21"/>
      <c r="E30" s="4"/>
      <c r="F30" s="4"/>
      <c r="G30" s="4"/>
      <c r="H30" s="4"/>
      <c r="I30" s="4"/>
      <c r="J30" s="4"/>
      <c r="K30" s="4"/>
      <c r="L30" s="4"/>
      <c r="M30" s="22"/>
    </row>
    <row r="31" spans="4:13" ht="14.25" customHeight="1">
      <c r="D31" s="21"/>
      <c r="E31" s="4"/>
      <c r="F31" s="4"/>
      <c r="G31" s="4"/>
      <c r="H31" s="4"/>
      <c r="I31" s="4"/>
      <c r="J31" s="4"/>
      <c r="K31" s="4"/>
      <c r="L31" s="4"/>
      <c r="M31" s="22"/>
    </row>
    <row r="32" spans="4:13" ht="14.25" customHeight="1">
      <c r="D32" s="21"/>
      <c r="E32" s="4"/>
      <c r="F32" s="4"/>
      <c r="G32" s="4"/>
      <c r="H32" s="4"/>
      <c r="I32" s="4"/>
      <c r="J32" s="4"/>
      <c r="K32" s="4"/>
      <c r="L32" s="4"/>
      <c r="M32" s="22"/>
    </row>
    <row r="33" spans="4:13" ht="14.25" customHeight="1">
      <c r="D33" s="21"/>
      <c r="E33" s="4"/>
      <c r="F33" s="4"/>
      <c r="G33" s="4"/>
      <c r="H33" s="4"/>
      <c r="I33" s="4"/>
      <c r="J33" s="4"/>
      <c r="K33" s="4"/>
      <c r="L33" s="4"/>
      <c r="M33" s="22"/>
    </row>
    <row r="34" spans="4:13" ht="14.25" customHeight="1">
      <c r="D34" s="21"/>
      <c r="E34" s="4"/>
      <c r="F34" s="4"/>
      <c r="G34" s="4"/>
      <c r="H34" s="4"/>
      <c r="I34" s="4"/>
      <c r="J34" s="4"/>
      <c r="K34" s="4"/>
      <c r="L34" s="4"/>
      <c r="M34" s="22"/>
    </row>
    <row r="35" spans="4:13" ht="14.25" customHeight="1">
      <c r="D35" s="21"/>
      <c r="E35" s="4"/>
      <c r="F35" s="4"/>
      <c r="G35" s="4"/>
      <c r="H35" s="4"/>
      <c r="I35" s="4"/>
      <c r="J35" s="4"/>
      <c r="K35" s="4"/>
      <c r="L35" s="4"/>
      <c r="M35" s="22"/>
    </row>
    <row r="36" spans="4:13" ht="14.25" customHeight="1">
      <c r="D36" s="21"/>
      <c r="E36" s="4"/>
      <c r="F36" s="4"/>
      <c r="G36" s="4"/>
      <c r="H36" s="4"/>
      <c r="I36" s="4"/>
      <c r="J36" s="4"/>
      <c r="K36" s="4"/>
      <c r="L36" s="4"/>
      <c r="M36" s="22"/>
    </row>
    <row r="37" spans="4:13" ht="14.25" customHeight="1">
      <c r="D37" s="23"/>
      <c r="E37" s="24"/>
      <c r="F37" s="24"/>
      <c r="G37" s="24"/>
      <c r="H37" s="24"/>
      <c r="I37" s="24"/>
      <c r="J37" s="24"/>
      <c r="K37" s="24"/>
      <c r="L37" s="24"/>
      <c r="M37" s="25"/>
    </row>
    <row r="38" spans="4:13">
      <c r="D38" s="27"/>
      <c r="E38" s="8"/>
      <c r="F38" s="8"/>
      <c r="G38" s="8"/>
      <c r="H38" s="8"/>
      <c r="I38" s="8"/>
      <c r="J38" s="8"/>
      <c r="K38" s="8"/>
      <c r="L38" s="8"/>
      <c r="M38" s="28"/>
    </row>
    <row r="39" spans="4:13">
      <c r="D39" s="19"/>
      <c r="E39" s="8"/>
      <c r="F39" s="8"/>
      <c r="G39" s="8"/>
      <c r="H39" s="8"/>
      <c r="I39" s="8"/>
      <c r="J39" s="8"/>
      <c r="K39" s="8"/>
      <c r="L39" s="8"/>
      <c r="M39" s="28"/>
    </row>
    <row r="40" spans="4:13">
      <c r="D40" s="19"/>
      <c r="E40" s="8"/>
      <c r="F40" s="8"/>
      <c r="G40" s="8"/>
      <c r="H40" s="8"/>
      <c r="I40" s="8"/>
      <c r="J40" s="8"/>
      <c r="K40" s="8"/>
      <c r="L40" s="8"/>
      <c r="M40" s="28"/>
    </row>
    <row r="41" spans="4:13">
      <c r="D41" s="29"/>
      <c r="E41" s="30"/>
      <c r="F41" s="30"/>
      <c r="G41" s="30"/>
      <c r="H41" s="30"/>
      <c r="I41" s="30"/>
      <c r="J41" s="30"/>
      <c r="K41" s="30"/>
      <c r="L41" s="30"/>
      <c r="M41" s="31"/>
    </row>
    <row r="42" spans="4:13">
      <c r="D42" s="19"/>
      <c r="E42" s="8"/>
      <c r="F42" s="8"/>
      <c r="G42" s="8"/>
      <c r="H42" s="8"/>
      <c r="I42" s="8"/>
      <c r="J42" s="8"/>
      <c r="K42" s="8"/>
      <c r="L42" s="8"/>
      <c r="M42" s="28"/>
    </row>
    <row r="43" spans="4:13">
      <c r="D43" s="19"/>
      <c r="E43" s="8"/>
      <c r="F43" s="8"/>
      <c r="G43" s="8"/>
      <c r="H43" s="8"/>
      <c r="I43" s="8"/>
      <c r="J43" s="8"/>
      <c r="K43" s="8"/>
      <c r="L43" s="8"/>
      <c r="M43" s="28"/>
    </row>
    <row r="44" spans="4:13">
      <c r="D44" s="19"/>
      <c r="E44" s="8"/>
      <c r="F44" s="8"/>
      <c r="G44" s="8"/>
      <c r="H44" s="8"/>
      <c r="I44" s="8"/>
      <c r="J44" s="8"/>
      <c r="K44" s="8"/>
      <c r="L44" s="8"/>
      <c r="M44" s="28"/>
    </row>
    <row r="45" spans="4:13">
      <c r="D45" s="19"/>
      <c r="E45" s="8"/>
      <c r="F45" s="8"/>
      <c r="G45" s="8"/>
      <c r="H45" s="8"/>
      <c r="I45" s="8"/>
      <c r="J45" s="8"/>
      <c r="K45" s="8"/>
      <c r="L45" s="8"/>
      <c r="M45" s="28"/>
    </row>
    <row r="46" spans="4:13">
      <c r="D46" s="19"/>
      <c r="E46" s="8"/>
      <c r="F46" s="8"/>
      <c r="G46" s="8"/>
      <c r="H46" s="8"/>
      <c r="I46" s="8"/>
      <c r="J46" s="8"/>
      <c r="K46" s="8"/>
      <c r="L46" s="8"/>
      <c r="M46" s="28"/>
    </row>
    <row r="47" spans="4:13">
      <c r="D47" s="29"/>
      <c r="E47" s="30"/>
      <c r="F47" s="30"/>
      <c r="G47" s="30"/>
      <c r="H47" s="30"/>
      <c r="I47" s="30"/>
      <c r="J47" s="30"/>
      <c r="K47" s="30"/>
      <c r="L47" s="30"/>
      <c r="M47" s="31"/>
    </row>
  </sheetData>
  <mergeCells count="6">
    <mergeCell ref="H28:J29"/>
    <mergeCell ref="G6:J6"/>
    <mergeCell ref="D8:M20"/>
    <mergeCell ref="F21:G22"/>
    <mergeCell ref="K21:L22"/>
    <mergeCell ref="G25:K27"/>
  </mergeCells>
  <printOptions horizontalCentered="1"/>
  <pageMargins left="0" right="0" top="0.74803149606299213" bottom="0.39370078740157483" header="0.31496062992125984" footer="0.31496062992125984"/>
  <pageSetup paperSize="9" scale="9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44F6E-0FB3-4025-96CB-83C366B49D40}">
  <sheetPr codeName="Sheet9">
    <tabColor theme="8" tint="-0.249977111117893"/>
  </sheetPr>
  <dimension ref="C2:K30"/>
  <sheetViews>
    <sheetView rightToLeft="1" workbookViewId="0">
      <selection activeCell="F17" sqref="F17"/>
    </sheetView>
  </sheetViews>
  <sheetFormatPr defaultRowHeight="15"/>
  <cols>
    <col min="4" max="4" width="20.125" customWidth="1"/>
    <col min="5" max="5" width="13.375" customWidth="1"/>
    <col min="6" max="6" width="12.625" customWidth="1"/>
    <col min="7" max="7" width="14" customWidth="1"/>
    <col min="8" max="8" width="15.375" customWidth="1"/>
    <col min="9" max="9" width="16.625" bestFit="1" customWidth="1"/>
    <col min="11" max="11" width="10" bestFit="1" customWidth="1"/>
  </cols>
  <sheetData>
    <row r="2" spans="3:11" ht="22.5">
      <c r="C2" s="2"/>
      <c r="D2" s="2"/>
      <c r="E2" s="2"/>
      <c r="F2" s="2"/>
      <c r="G2" s="2"/>
      <c r="H2" s="2"/>
      <c r="I2" s="2"/>
      <c r="J2" s="2"/>
      <c r="K2" s="2"/>
    </row>
    <row r="3" spans="3:11" ht="20.100000000000001" customHeight="1">
      <c r="C3" s="2"/>
      <c r="D3" s="75" t="s">
        <v>28</v>
      </c>
      <c r="E3" s="309" t="s">
        <v>137</v>
      </c>
      <c r="F3" s="310"/>
      <c r="G3" s="310"/>
      <c r="H3" s="311"/>
      <c r="I3" s="2"/>
      <c r="J3" s="2" t="s">
        <v>18</v>
      </c>
      <c r="K3" s="2">
        <f>data!M5</f>
        <v>0</v>
      </c>
    </row>
    <row r="4" spans="3:11" ht="20.100000000000001" customHeight="1">
      <c r="C4" s="2"/>
      <c r="D4" s="75" t="s">
        <v>65</v>
      </c>
      <c r="E4" s="312"/>
      <c r="F4" s="313"/>
      <c r="G4" s="313"/>
      <c r="H4" s="314"/>
      <c r="I4" s="2"/>
      <c r="J4" s="2" t="s">
        <v>45</v>
      </c>
      <c r="K4" s="2">
        <f>data!N5</f>
        <v>0</v>
      </c>
    </row>
    <row r="5" spans="3:11" ht="20.100000000000001" customHeight="1">
      <c r="C5" s="2"/>
      <c r="D5" s="75" t="s">
        <v>138</v>
      </c>
      <c r="E5" s="2"/>
      <c r="F5" s="2"/>
      <c r="G5" s="2"/>
      <c r="H5" s="2"/>
      <c r="I5" s="2"/>
      <c r="J5" s="2"/>
      <c r="K5" s="2"/>
    </row>
    <row r="6" spans="3:11" ht="22.5">
      <c r="C6" s="2"/>
      <c r="D6" s="76" t="str">
        <f>data!F4</f>
        <v>ردیف</v>
      </c>
      <c r="E6" s="76" t="str">
        <f>data!G4</f>
        <v>شماره قبض</v>
      </c>
      <c r="F6" s="76" t="str">
        <f>data!H4</f>
        <v>تاریخ صدور</v>
      </c>
      <c r="G6" s="76" t="s">
        <v>38</v>
      </c>
      <c r="H6" s="76" t="s">
        <v>5</v>
      </c>
      <c r="I6" s="76" t="s">
        <v>139</v>
      </c>
      <c r="J6" s="76" t="s">
        <v>140</v>
      </c>
      <c r="K6" s="2"/>
    </row>
    <row r="7" spans="3:11" ht="22.5">
      <c r="C7" s="2"/>
      <c r="D7" s="76">
        <f>data!F5</f>
        <v>1</v>
      </c>
      <c r="E7" s="76">
        <f>data!G5</f>
        <v>0</v>
      </c>
      <c r="F7" s="76">
        <f>data!H5</f>
        <v>0</v>
      </c>
      <c r="G7" s="76"/>
      <c r="H7" s="76"/>
      <c r="I7" s="77">
        <f>data!J5</f>
        <v>0</v>
      </c>
      <c r="J7" s="76"/>
      <c r="K7" s="2"/>
    </row>
    <row r="8" spans="3:11" ht="22.5">
      <c r="C8" s="2"/>
      <c r="D8" s="76">
        <f>data!F6</f>
        <v>2</v>
      </c>
      <c r="E8" s="76">
        <f>data!G6</f>
        <v>0</v>
      </c>
      <c r="F8" s="76">
        <f>data!H6</f>
        <v>0</v>
      </c>
      <c r="G8" s="76"/>
      <c r="H8" s="76"/>
      <c r="I8" s="77">
        <f>data!J6</f>
        <v>0</v>
      </c>
      <c r="J8" s="76"/>
      <c r="K8" s="2"/>
    </row>
    <row r="9" spans="3:11" ht="22.5">
      <c r="C9" s="2"/>
      <c r="D9" s="76">
        <f>data!F7</f>
        <v>3</v>
      </c>
      <c r="E9" s="76">
        <f>data!G7</f>
        <v>0</v>
      </c>
      <c r="F9" s="76"/>
      <c r="G9" s="76"/>
      <c r="H9" s="76"/>
      <c r="I9" s="77">
        <f>data!J7</f>
        <v>0</v>
      </c>
      <c r="J9" s="76"/>
      <c r="K9" s="2"/>
    </row>
    <row r="10" spans="3:11" ht="22.5">
      <c r="C10" s="2"/>
      <c r="D10" s="76">
        <f>data!F8</f>
        <v>4</v>
      </c>
      <c r="E10" s="76">
        <f>data!G8</f>
        <v>0</v>
      </c>
      <c r="F10" s="76"/>
      <c r="G10" s="76"/>
      <c r="H10" s="76"/>
      <c r="I10" s="77">
        <f>data!J8</f>
        <v>0</v>
      </c>
      <c r="J10" s="76"/>
      <c r="K10" s="2"/>
    </row>
    <row r="11" spans="3:11" ht="22.5">
      <c r="C11" s="2"/>
      <c r="D11" s="76">
        <f>data!F9</f>
        <v>5</v>
      </c>
      <c r="E11" s="76">
        <f>data!G9</f>
        <v>0</v>
      </c>
      <c r="F11" s="76"/>
      <c r="G11" s="76"/>
      <c r="H11" s="76"/>
      <c r="I11" s="77">
        <f>data!J9</f>
        <v>0</v>
      </c>
      <c r="J11" s="76"/>
      <c r="K11" s="2"/>
    </row>
    <row r="12" spans="3:11" ht="22.5">
      <c r="C12" s="2"/>
      <c r="D12" s="76">
        <f>data!F10</f>
        <v>6</v>
      </c>
      <c r="E12" s="76">
        <f>data!G10</f>
        <v>0</v>
      </c>
      <c r="F12" s="76"/>
      <c r="G12" s="76"/>
      <c r="H12" s="76"/>
      <c r="I12" s="77">
        <f>data!J10</f>
        <v>0</v>
      </c>
      <c r="J12" s="76"/>
      <c r="K12" s="2"/>
    </row>
    <row r="13" spans="3:11" ht="22.5">
      <c r="C13" s="2"/>
      <c r="D13" s="76">
        <f>data!F11</f>
        <v>7</v>
      </c>
      <c r="E13" s="76">
        <f>data!G11</f>
        <v>0</v>
      </c>
      <c r="F13" s="76"/>
      <c r="G13" s="76"/>
      <c r="H13" s="76"/>
      <c r="I13" s="77">
        <f>data!J11</f>
        <v>0</v>
      </c>
      <c r="J13" s="76"/>
      <c r="K13" s="2"/>
    </row>
    <row r="14" spans="3:11" ht="22.5">
      <c r="C14" s="2"/>
      <c r="D14" s="76">
        <f>data!F12</f>
        <v>8</v>
      </c>
      <c r="E14" s="76">
        <f>data!G12</f>
        <v>0</v>
      </c>
      <c r="F14" s="76"/>
      <c r="G14" s="76"/>
      <c r="H14" s="76"/>
      <c r="I14" s="77">
        <f>data!J12</f>
        <v>0</v>
      </c>
      <c r="J14" s="76"/>
      <c r="K14" s="2"/>
    </row>
    <row r="15" spans="3:11" ht="22.5">
      <c r="C15" s="2"/>
      <c r="D15" s="76">
        <f>data!F13</f>
        <v>9</v>
      </c>
      <c r="E15" s="76">
        <f>data!G13</f>
        <v>0</v>
      </c>
      <c r="F15" s="76"/>
      <c r="G15" s="76"/>
      <c r="H15" s="76"/>
      <c r="I15" s="77">
        <f>data!J13</f>
        <v>0</v>
      </c>
      <c r="J15" s="76"/>
      <c r="K15" s="2"/>
    </row>
    <row r="16" spans="3:11" ht="22.5">
      <c r="C16" s="2"/>
      <c r="D16" s="76">
        <f>data!F14</f>
        <v>10</v>
      </c>
      <c r="E16" s="76">
        <f>data!G14</f>
        <v>0</v>
      </c>
      <c r="F16" s="76"/>
      <c r="G16" s="76"/>
      <c r="H16" s="76"/>
      <c r="I16" s="77">
        <f>data!J14</f>
        <v>0</v>
      </c>
      <c r="J16" s="76"/>
      <c r="K16" s="2"/>
    </row>
    <row r="17" spans="3:11" ht="22.5">
      <c r="C17" s="2"/>
      <c r="D17" s="76">
        <f>data!F15</f>
        <v>11</v>
      </c>
      <c r="E17" s="76">
        <f>data!G15</f>
        <v>0</v>
      </c>
      <c r="F17" s="76"/>
      <c r="G17" s="76"/>
      <c r="H17" s="76"/>
      <c r="I17" s="77">
        <f>data!J15</f>
        <v>0</v>
      </c>
      <c r="J17" s="76"/>
      <c r="K17" s="2"/>
    </row>
    <row r="18" spans="3:11" ht="22.5">
      <c r="C18" s="2"/>
      <c r="D18" s="76">
        <f>data!F16</f>
        <v>12</v>
      </c>
      <c r="E18" s="76">
        <f>data!G16</f>
        <v>0</v>
      </c>
      <c r="F18" s="76"/>
      <c r="G18" s="76"/>
      <c r="H18" s="76"/>
      <c r="I18" s="77">
        <f>data!J16</f>
        <v>0</v>
      </c>
      <c r="J18" s="76"/>
      <c r="K18" s="2"/>
    </row>
    <row r="19" spans="3:11" ht="22.5">
      <c r="C19" s="2"/>
      <c r="D19" s="76">
        <f>data!F17</f>
        <v>13</v>
      </c>
      <c r="E19" s="76">
        <f>data!G17</f>
        <v>0</v>
      </c>
      <c r="F19" s="76"/>
      <c r="G19" s="76"/>
      <c r="H19" s="76"/>
      <c r="I19" s="77">
        <f>data!J17</f>
        <v>0</v>
      </c>
      <c r="J19" s="76"/>
      <c r="K19" s="2"/>
    </row>
    <row r="20" spans="3:11" ht="22.5">
      <c r="C20" s="2"/>
      <c r="D20" s="76" t="str">
        <f ca="1">data!F18</f>
        <v>تعداد کل قبوض: 0</v>
      </c>
      <c r="E20" s="76" t="str">
        <f>data!G18</f>
        <v>جمع</v>
      </c>
      <c r="F20" s="76"/>
      <c r="G20" s="76"/>
      <c r="H20" s="76"/>
      <c r="I20" s="76"/>
      <c r="J20" s="76"/>
      <c r="K20" s="2"/>
    </row>
    <row r="21" spans="3:11" ht="22.5">
      <c r="C21" s="2"/>
      <c r="D21" s="2"/>
      <c r="E21" s="2"/>
      <c r="F21" s="2"/>
      <c r="G21" s="2"/>
      <c r="H21" s="2"/>
      <c r="I21" s="2"/>
      <c r="J21" s="2"/>
      <c r="K21" s="2"/>
    </row>
    <row r="22" spans="3:11" ht="22.5">
      <c r="C22" s="345" t="str">
        <f>" رئیس گروه مالیاتی شهرستان "&amp;data!D8&amp;CHAR(10)&amp;data!D13</f>
        <v xml:space="preserve"> رئیس گروه مالیاتی شهرستان اهواز
مسعود بصیر</v>
      </c>
      <c r="D22" s="345"/>
      <c r="E22" s="345"/>
      <c r="F22" s="2"/>
      <c r="G22" s="2"/>
      <c r="H22" s="345" t="str">
        <f>" رئیس امور مالیاتی شهرستان "&amp;data!D8&amp;CHAR(10)&amp;data!D12</f>
        <v xml:space="preserve"> رئیس امور مالیاتی شهرستان اهواز
غلامرضا اسلامی</v>
      </c>
      <c r="I22" s="345"/>
      <c r="J22" s="345"/>
      <c r="K22" s="2"/>
    </row>
    <row r="23" spans="3:11" ht="22.5">
      <c r="C23" s="345"/>
      <c r="D23" s="345"/>
      <c r="E23" s="345"/>
      <c r="F23" s="2"/>
      <c r="G23" s="2"/>
      <c r="H23" s="345"/>
      <c r="I23" s="345"/>
      <c r="J23" s="345"/>
      <c r="K23" s="2"/>
    </row>
    <row r="24" spans="3:11" ht="22.5">
      <c r="C24" s="345"/>
      <c r="D24" s="345"/>
      <c r="E24" s="345"/>
      <c r="F24" s="2"/>
      <c r="G24" s="2"/>
      <c r="H24" s="345"/>
      <c r="I24" s="345"/>
      <c r="J24" s="345"/>
      <c r="K24" s="2"/>
    </row>
    <row r="25" spans="3:11" ht="22.5">
      <c r="C25" s="2"/>
      <c r="D25" s="2"/>
      <c r="E25" s="2"/>
      <c r="F25" s="2"/>
      <c r="G25" s="2"/>
      <c r="H25" s="2"/>
      <c r="I25" s="2"/>
      <c r="J25" s="2"/>
      <c r="K25" s="2"/>
    </row>
    <row r="26" spans="3:11" ht="22.5">
      <c r="C26" s="2"/>
      <c r="D26" s="2"/>
      <c r="E26" s="2"/>
      <c r="F26" s="2"/>
      <c r="G26" s="2"/>
      <c r="H26" s="2"/>
      <c r="I26" s="2"/>
      <c r="J26" s="2"/>
      <c r="K26" s="2"/>
    </row>
    <row r="27" spans="3:11" ht="22.5">
      <c r="C27" s="2"/>
      <c r="D27" s="2"/>
      <c r="E27" s="2"/>
      <c r="F27" s="2"/>
      <c r="G27" s="2"/>
      <c r="H27" s="2"/>
      <c r="I27" s="2"/>
      <c r="J27" s="2"/>
      <c r="K27" s="2"/>
    </row>
    <row r="28" spans="3:11" ht="22.5">
      <c r="C28" s="2"/>
      <c r="D28" s="2"/>
      <c r="E28" s="2"/>
      <c r="F28" s="2"/>
      <c r="G28" s="2"/>
      <c r="H28" s="2"/>
      <c r="I28" s="2"/>
      <c r="J28" s="2"/>
      <c r="K28" s="2"/>
    </row>
    <row r="29" spans="3:11" ht="22.5">
      <c r="C29" s="2"/>
      <c r="D29" s="2"/>
      <c r="E29" s="2"/>
      <c r="F29" s="2"/>
      <c r="G29" s="2"/>
      <c r="H29" s="2"/>
      <c r="I29" s="2"/>
      <c r="J29" s="2"/>
      <c r="K29" s="2"/>
    </row>
    <row r="30" spans="3:11" ht="22.5">
      <c r="C30" s="2"/>
      <c r="D30" s="2"/>
      <c r="E30" s="2"/>
      <c r="F30" s="2"/>
      <c r="G30" s="2"/>
      <c r="H30" s="2"/>
      <c r="I30" s="2"/>
      <c r="J30" s="2"/>
      <c r="K30" s="2"/>
    </row>
  </sheetData>
  <mergeCells count="3">
    <mergeCell ref="E3:H4"/>
    <mergeCell ref="C22:E24"/>
    <mergeCell ref="H22:J24"/>
  </mergeCells>
  <printOptions horizontalCentered="1"/>
  <pageMargins left="0" right="0" top="0.74803149606299213" bottom="0.74803149606299213" header="0.31496062992125984" footer="0.31496062992125984"/>
  <pageSetup paperSize="9" scale="95"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data</vt:lpstr>
      <vt:lpstr>cheklist</vt:lpstr>
      <vt:lpstr>form1</vt:lpstr>
      <vt:lpstr>form2</vt:lpstr>
      <vt:lpstr>form3</vt:lpstr>
      <vt:lpstr>form4</vt:lpstr>
      <vt:lpstr>form5</vt:lpstr>
      <vt:lpstr>form6</vt:lpstr>
      <vt:lpstr>form7</vt:lpstr>
      <vt:lpstr>cheklist!Print_Area</vt:lpstr>
      <vt:lpstr>form1!Print_Area</vt:lpstr>
      <vt:lpstr>form2!Print_Area</vt:lpstr>
      <vt:lpstr>form3!Print_Area</vt:lpstr>
      <vt:lpstr>form4!Print_Area</vt:lpstr>
      <vt:lpstr>form5!Print_Area</vt:lpstr>
      <vt:lpstr>form6!Print_Area</vt:lpstr>
      <vt:lpstr>form7!Print_Area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امین نوشادی</dc:creator>
  <cp:lastModifiedBy>صادق مرادی</cp:lastModifiedBy>
  <cp:lastPrinted>2026-06-13T05:08:49Z</cp:lastPrinted>
  <dcterms:created xsi:type="dcterms:W3CDTF">2026-06-04T07:00:47Z</dcterms:created>
  <dcterms:modified xsi:type="dcterms:W3CDTF">2026-08-13T08:07:30Z</dcterms:modified>
</cp:coreProperties>
</file>